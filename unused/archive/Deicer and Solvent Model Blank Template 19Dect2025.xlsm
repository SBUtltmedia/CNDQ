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rb\Documents\Teaching\MBA 543\Deicer and Solvent Production\"/>
    </mc:Choice>
  </mc:AlternateContent>
  <xr:revisionPtr revIDLastSave="0" documentId="8_{8F9501E0-6DB3-41B6-93B7-8617C5382743}" xr6:coauthVersionLast="47" xr6:coauthVersionMax="47" xr10:uidLastSave="{00000000-0000-0000-0000-000000000000}"/>
  <bookViews>
    <workbookView xWindow="-120" yWindow="-120" windowWidth="29040" windowHeight="15720" firstSheet="10" activeTab="24" xr2:uid="{00000000-000D-0000-FFFF-FFFF00000000}"/>
  </bookViews>
  <sheets>
    <sheet name="Model" sheetId="1" r:id="rId1"/>
    <sheet name="Answer Report 1" sheetId="20" r:id="rId2"/>
    <sheet name="Sensitivity Report 1" sheetId="21" r:id="rId3"/>
    <sheet name="Random CNDQ" sheetId="19" r:id="rId4"/>
    <sheet name="Team 1" sheetId="9" r:id="rId5"/>
    <sheet name="Team 2" sheetId="10" r:id="rId6"/>
    <sheet name="Team 3" sheetId="11" r:id="rId7"/>
    <sheet name="Team 4" sheetId="12" r:id="rId8"/>
    <sheet name="Team 5" sheetId="13" r:id="rId9"/>
    <sheet name="Team 6" sheetId="14" r:id="rId10"/>
    <sheet name="Team 7" sheetId="15" r:id="rId11"/>
    <sheet name="Team 8" sheetId="16" r:id="rId12"/>
    <sheet name="Team 9" sheetId="17" r:id="rId13"/>
    <sheet name="Team 10" sheetId="18" r:id="rId14"/>
    <sheet name="Team 11" sheetId="22" r:id="rId15"/>
    <sheet name="Team 12" sheetId="23" r:id="rId16"/>
    <sheet name="Team 13" sheetId="24" r:id="rId17"/>
    <sheet name="Team 14" sheetId="25" r:id="rId18"/>
    <sheet name="Team 15" sheetId="26" r:id="rId19"/>
    <sheet name="Team 16" sheetId="27" r:id="rId20"/>
    <sheet name="Team 17" sheetId="28" r:id="rId21"/>
    <sheet name="Team 18" sheetId="29" r:id="rId22"/>
    <sheet name="Team 19" sheetId="30" r:id="rId23"/>
    <sheet name="Team 20" sheetId="31" r:id="rId24"/>
    <sheet name="Scoreboard" sheetId="6" r:id="rId25"/>
  </sheets>
  <definedNames>
    <definedName name="coin_cuttype" localSheetId="0" hidden="1">1</definedName>
    <definedName name="coin_dualtol" localSheetId="0" hidden="1">0.0000001</definedName>
    <definedName name="coin_heurs" localSheetId="0" hidden="1">1</definedName>
    <definedName name="coin_integerpresolve" localSheetId="0" hidden="1">1</definedName>
    <definedName name="coin_presolve1" localSheetId="0" hidden="1">1</definedName>
    <definedName name="coin_primaltol" localSheetId="0" hidden="1">0.0000001</definedName>
    <definedName name="solver_adj" localSheetId="0" hidden="1">Model!$B$11:$C$11</definedName>
    <definedName name="solver_adj" localSheetId="4" hidden="1">'Team 1'!$B$11:$C$11</definedName>
    <definedName name="solver_adj" localSheetId="13" hidden="1">'Team 10'!$B$11:$C$11</definedName>
    <definedName name="solver_adj" localSheetId="14" hidden="1">'Team 11'!$B$11:$C$11</definedName>
    <definedName name="solver_adj" localSheetId="15" hidden="1">'Team 12'!$B$11:$C$11</definedName>
    <definedName name="solver_adj" localSheetId="16" hidden="1">'Team 13'!$B$11:$C$11</definedName>
    <definedName name="solver_adj" localSheetId="17" hidden="1">'Team 14'!$B$11:$C$11</definedName>
    <definedName name="solver_adj" localSheetId="18" hidden="1">'Team 15'!$B$11:$C$11</definedName>
    <definedName name="solver_adj" localSheetId="19" hidden="1">'Team 16'!$B$11:$C$11</definedName>
    <definedName name="solver_adj" localSheetId="20" hidden="1">'Team 17'!$B$11:$C$11</definedName>
    <definedName name="solver_adj" localSheetId="21" hidden="1">'Team 18'!$B$11:$C$11</definedName>
    <definedName name="solver_adj" localSheetId="22" hidden="1">'Team 19'!$B$11:$C$11</definedName>
    <definedName name="solver_adj" localSheetId="5" hidden="1">'Team 2'!$B$11:$C$11</definedName>
    <definedName name="solver_adj" localSheetId="23" hidden="1">'Team 20'!$B$11:$C$11</definedName>
    <definedName name="solver_adj" localSheetId="6" hidden="1">'Team 3'!$B$11:$C$11</definedName>
    <definedName name="solver_adj" localSheetId="7" hidden="1">'Team 4'!$B$11:$C$11</definedName>
    <definedName name="solver_adj" localSheetId="8" hidden="1">'Team 5'!$B$11:$C$11</definedName>
    <definedName name="solver_adj" localSheetId="9" hidden="1">'Team 6'!$B$11:$C$11</definedName>
    <definedName name="solver_adj" localSheetId="10" hidden="1">'Team 7'!$B$11:$C$11</definedName>
    <definedName name="solver_adj" localSheetId="11" hidden="1">'Team 8'!$B$11:$C$11</definedName>
    <definedName name="solver_adj" localSheetId="12" hidden="1">'Team 9'!$B$11:$C$11</definedName>
    <definedName name="solver_adj_ob" localSheetId="0" hidden="1">1</definedName>
    <definedName name="solver_cha" localSheetId="0" hidden="1">0</definedName>
    <definedName name="solver_chc1" localSheetId="0" hidden="1">0</definedName>
    <definedName name="solver_chn" localSheetId="0" hidden="1">4</definedName>
    <definedName name="solver_chp1" localSheetId="0" hidden="1">0</definedName>
    <definedName name="solver_cht" localSheetId="0" hidden="1">0</definedName>
    <definedName name="solver_cir1" localSheetId="0" hidden="1">1</definedName>
    <definedName name="solver_con" localSheetId="0" hidden="1">" "</definedName>
    <definedName name="solver_con1" localSheetId="0" hidden="1">" "</definedName>
    <definedName name="solver_cvg" localSheetId="0" hidden="1">0.0001</definedName>
    <definedName name="solver_cvg" localSheetId="4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8" hidden="1">0.0001</definedName>
    <definedName name="solver_cvg" localSheetId="19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5" hidden="1">0.0001</definedName>
    <definedName name="solver_cvg" localSheetId="23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dia" localSheetId="0" hidden="1">5</definedName>
    <definedName name="solver_drv" localSheetId="0" hidden="1">1</definedName>
    <definedName name="solver_drv" localSheetId="4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18" hidden="1">1</definedName>
    <definedName name="solver_drv" localSheetId="19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5" hidden="1">1</definedName>
    <definedName name="solver_drv" localSheetId="23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eng" localSheetId="0" hidden="1">2</definedName>
    <definedName name="solver_eng" localSheetId="4" hidden="1">2</definedName>
    <definedName name="solver_eng" localSheetId="13" hidden="1">2</definedName>
    <definedName name="solver_eng" localSheetId="14" hidden="1">2</definedName>
    <definedName name="solver_eng" localSheetId="15" hidden="1">2</definedName>
    <definedName name="solver_eng" localSheetId="16" hidden="1">2</definedName>
    <definedName name="solver_eng" localSheetId="17" hidden="1">2</definedName>
    <definedName name="solver_eng" localSheetId="18" hidden="1">2</definedName>
    <definedName name="solver_eng" localSheetId="19" hidden="1">2</definedName>
    <definedName name="solver_eng" localSheetId="20" hidden="1">2</definedName>
    <definedName name="solver_eng" localSheetId="21" hidden="1">2</definedName>
    <definedName name="solver_eng" localSheetId="22" hidden="1">2</definedName>
    <definedName name="solver_eng" localSheetId="5" hidden="1">2</definedName>
    <definedName name="solver_eng" localSheetId="23" hidden="1">2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10" hidden="1">2</definedName>
    <definedName name="solver_eng" localSheetId="11" hidden="1">2</definedName>
    <definedName name="solver_eng" localSheetId="12" hidden="1">2</definedName>
    <definedName name="solver_est" localSheetId="0" hidden="1">1</definedName>
    <definedName name="solver_est" localSheetId="4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5" hidden="1">1</definedName>
    <definedName name="solver_est" localSheetId="23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glb" localSheetId="0" hidden="1">-1E+30</definedName>
    <definedName name="solver_gub" localSheetId="0" hidden="1">1E+30</definedName>
    <definedName name="solver_iao" localSheetId="0" hidden="1">0</definedName>
    <definedName name="solver_inc" localSheetId="0" hidden="1">0</definedName>
    <definedName name="solver_int" localSheetId="0" hidden="1">1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itr" localSheetId="4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18" hidden="1">100</definedName>
    <definedName name="solver_itr" localSheetId="19" hidden="1">100</definedName>
    <definedName name="solver_itr" localSheetId="20" hidden="1">100</definedName>
    <definedName name="solver_itr" localSheetId="21" hidden="1">100</definedName>
    <definedName name="solver_itr" localSheetId="22" hidden="1">100</definedName>
    <definedName name="solver_itr" localSheetId="5" hidden="1">100</definedName>
    <definedName name="solver_itr" localSheetId="23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lhs_ob1" localSheetId="0" hidden="1">0</definedName>
    <definedName name="solver_lhs1" localSheetId="0" hidden="1">Model!$D$5:$D$8</definedName>
    <definedName name="solver_lhs1" localSheetId="4" hidden="1">'Team 1'!$D$5:$D$8</definedName>
    <definedName name="solver_lhs1" localSheetId="13" hidden="1">'Team 10'!$D$5:$D$8</definedName>
    <definedName name="solver_lhs1" localSheetId="14" hidden="1">'Team 11'!$D$5:$D$8</definedName>
    <definedName name="solver_lhs1" localSheetId="15" hidden="1">'Team 12'!$D$5:$D$8</definedName>
    <definedName name="solver_lhs1" localSheetId="16" hidden="1">'Team 13'!$D$5:$D$8</definedName>
    <definedName name="solver_lhs1" localSheetId="17" hidden="1">'Team 14'!$D$5:$D$8</definedName>
    <definedName name="solver_lhs1" localSheetId="18" hidden="1">'Team 15'!$D$5:$D$8</definedName>
    <definedName name="solver_lhs1" localSheetId="19" hidden="1">'Team 16'!$D$5:$D$8</definedName>
    <definedName name="solver_lhs1" localSheetId="20" hidden="1">'Team 17'!$D$5:$D$8</definedName>
    <definedName name="solver_lhs1" localSheetId="21" hidden="1">'Team 18'!$D$5:$D$8</definedName>
    <definedName name="solver_lhs1" localSheetId="22" hidden="1">'Team 19'!$D$5:$D$8</definedName>
    <definedName name="solver_lhs1" localSheetId="5" hidden="1">'Team 2'!$D$5:$D$8</definedName>
    <definedName name="solver_lhs1" localSheetId="23" hidden="1">'Team 20'!$D$5:$D$8</definedName>
    <definedName name="solver_lhs1" localSheetId="6" hidden="1">'Team 3'!$D$5:$D$8</definedName>
    <definedName name="solver_lhs1" localSheetId="7" hidden="1">'Team 4'!$D$5:$D$8</definedName>
    <definedName name="solver_lhs1" localSheetId="8" hidden="1">'Team 5'!$D$5:$D$8</definedName>
    <definedName name="solver_lhs1" localSheetId="9" hidden="1">'Team 6'!$D$5:$D$8</definedName>
    <definedName name="solver_lhs1" localSheetId="10" hidden="1">'Team 7'!$D$5:$D$8</definedName>
    <definedName name="solver_lhs1" localSheetId="11" hidden="1">'Team 8'!$D$5:$D$8</definedName>
    <definedName name="solver_lhs1" localSheetId="12" hidden="1">'Team 9'!$D$5:$D$8</definedName>
    <definedName name="solver_lhs2" localSheetId="0" hidden="1">Model!$D$5:$D$8</definedName>
    <definedName name="solver_lin" localSheetId="0" hidden="1">1</definedName>
    <definedName name="solver_lin" localSheetId="4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18" hidden="1">1</definedName>
    <definedName name="solver_lin" localSheetId="19" hidden="1">1</definedName>
    <definedName name="solver_lin" localSheetId="20" hidden="1">1</definedName>
    <definedName name="solver_lin" localSheetId="21" hidden="1">1</definedName>
    <definedName name="solver_lin" localSheetId="22" hidden="1">1</definedName>
    <definedName name="solver_lin" localSheetId="5" hidden="1">1</definedName>
    <definedName name="solver_lin" localSheetId="23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og" localSheetId="0" hidden="1">1</definedName>
    <definedName name="solver_mda" localSheetId="0" hidden="1">4</definedName>
    <definedName name="solver_mip" localSheetId="0" hidden="1">2147483647</definedName>
    <definedName name="solver_mip" localSheetId="4" hidden="1">2147483647</definedName>
    <definedName name="solver_mip" localSheetId="13" hidden="1">2147483647</definedName>
    <definedName name="solver_mip" localSheetId="14" hidden="1">2147483647</definedName>
    <definedName name="solver_mip" localSheetId="15" hidden="1">2147483647</definedName>
    <definedName name="solver_mip" localSheetId="16" hidden="1">2147483647</definedName>
    <definedName name="solver_mip" localSheetId="17" hidden="1">2147483647</definedName>
    <definedName name="solver_mip" localSheetId="18" hidden="1">2147483647</definedName>
    <definedName name="solver_mip" localSheetId="19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ip" localSheetId="5" hidden="1">2147483647</definedName>
    <definedName name="solver_mip" localSheetId="23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ni" localSheetId="0" hidden="1">30</definedName>
    <definedName name="solver_mni" localSheetId="4" hidden="1">30</definedName>
    <definedName name="solver_mni" localSheetId="13" hidden="1">30</definedName>
    <definedName name="solver_mni" localSheetId="14" hidden="1">30</definedName>
    <definedName name="solver_mni" localSheetId="15" hidden="1">30</definedName>
    <definedName name="solver_mni" localSheetId="16" hidden="1">30</definedName>
    <definedName name="solver_mni" localSheetId="17" hidden="1">30</definedName>
    <definedName name="solver_mni" localSheetId="18" hidden="1">30</definedName>
    <definedName name="solver_mni" localSheetId="19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ni" localSheetId="5" hidden="1">30</definedName>
    <definedName name="solver_mni" localSheetId="23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od" localSheetId="0" hidden="1">3</definedName>
    <definedName name="solver_mrt" localSheetId="0" hidden="1">0.075</definedName>
    <definedName name="solver_mrt" localSheetId="4" hidden="1">0.075</definedName>
    <definedName name="solver_mrt" localSheetId="13" hidden="1">0.075</definedName>
    <definedName name="solver_mrt" localSheetId="14" hidden="1">0.075</definedName>
    <definedName name="solver_mrt" localSheetId="15" hidden="1">0.075</definedName>
    <definedName name="solver_mrt" localSheetId="16" hidden="1">0.075</definedName>
    <definedName name="solver_mrt" localSheetId="17" hidden="1">0.075</definedName>
    <definedName name="solver_mrt" localSheetId="18" hidden="1">0.075</definedName>
    <definedName name="solver_mrt" localSheetId="19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rt" localSheetId="5" hidden="1">0.075</definedName>
    <definedName name="solver_mrt" localSheetId="23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sl" localSheetId="0" hidden="1">2</definedName>
    <definedName name="solver_msl" localSheetId="4" hidden="1">2</definedName>
    <definedName name="solver_msl" localSheetId="13" hidden="1">2</definedName>
    <definedName name="solver_msl" localSheetId="14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18" hidden="1">2</definedName>
    <definedName name="solver_msl" localSheetId="19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msl" localSheetId="5" hidden="1">2</definedName>
    <definedName name="solver_msl" localSheetId="23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neg" localSheetId="0" hidden="1">1</definedName>
    <definedName name="solver_neg" localSheetId="4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18" hidden="1">1</definedName>
    <definedName name="solver_neg" localSheetId="19" hidden="1">1</definedName>
    <definedName name="solver_neg" localSheetId="20" hidden="1">1</definedName>
    <definedName name="solver_neg" localSheetId="21" hidden="1">1</definedName>
    <definedName name="solver_neg" localSheetId="22" hidden="1">1</definedName>
    <definedName name="solver_neg" localSheetId="5" hidden="1">1</definedName>
    <definedName name="solver_neg" localSheetId="23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od" localSheetId="0" hidden="1">2147483647</definedName>
    <definedName name="solver_nod" localSheetId="4" hidden="1">2147483647</definedName>
    <definedName name="solver_nod" localSheetId="13" hidden="1">2147483647</definedName>
    <definedName name="solver_nod" localSheetId="14" hidden="1">2147483647</definedName>
    <definedName name="solver_nod" localSheetId="15" hidden="1">2147483647</definedName>
    <definedName name="solver_nod" localSheetId="16" hidden="1">2147483647</definedName>
    <definedName name="solver_nod" localSheetId="17" hidden="1">2147483647</definedName>
    <definedName name="solver_nod" localSheetId="18" hidden="1">2147483647</definedName>
    <definedName name="solver_nod" localSheetId="19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d" localSheetId="5" hidden="1">2147483647</definedName>
    <definedName name="solver_nod" localSheetId="23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tr" localSheetId="0" hidden="1">2</definedName>
    <definedName name="solver_ntri" hidden="1">1000</definedName>
    <definedName name="solver_num" localSheetId="0" hidden="1">1</definedName>
    <definedName name="solver_num" localSheetId="4" hidden="1">1</definedName>
    <definedName name="solver_num" localSheetId="13" hidden="1">1</definedName>
    <definedName name="solver_num" localSheetId="14" hidden="1">1</definedName>
    <definedName name="solver_num" localSheetId="15" hidden="1">1</definedName>
    <definedName name="solver_num" localSheetId="16" hidden="1">1</definedName>
    <definedName name="solver_num" localSheetId="17" hidden="1">1</definedName>
    <definedName name="solver_num" localSheetId="18" hidden="1">1</definedName>
    <definedName name="solver_num" localSheetId="19" hidden="1">1</definedName>
    <definedName name="solver_num" localSheetId="20" hidden="1">1</definedName>
    <definedName name="solver_num" localSheetId="21" hidden="1">1</definedName>
    <definedName name="solver_num" localSheetId="22" hidden="1">1</definedName>
    <definedName name="solver_num" localSheetId="5" hidden="1">1</definedName>
    <definedName name="solver_num" localSheetId="23" hidden="1">1</definedName>
    <definedName name="solver_num" localSheetId="6" hidden="1">1</definedName>
    <definedName name="solver_num" localSheetId="7" hidden="1">1</definedName>
    <definedName name="solver_num" localSheetId="8" hidden="1">1</definedName>
    <definedName name="solver_num" localSheetId="9" hidden="1">1</definedName>
    <definedName name="solver_num" localSheetId="10" hidden="1">1</definedName>
    <definedName name="solver_num" localSheetId="11" hidden="1">1</definedName>
    <definedName name="solver_num" localSheetId="12" hidden="1">1</definedName>
    <definedName name="solver_nwt" localSheetId="0" hidden="1">1</definedName>
    <definedName name="solver_nwt" localSheetId="4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8" hidden="1">1</definedName>
    <definedName name="solver_nwt" localSheetId="19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5" hidden="1">1</definedName>
    <definedName name="solver_nwt" localSheetId="23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obc" localSheetId="0" hidden="1">0</definedName>
    <definedName name="solver_obp" localSheetId="0" hidden="1">0</definedName>
    <definedName name="solver_opt" localSheetId="0" hidden="1">Model!$D$2</definedName>
    <definedName name="solver_opt" localSheetId="4" hidden="1">'Team 1'!$D$2</definedName>
    <definedName name="solver_opt" localSheetId="13" hidden="1">'Team 10'!$D$2</definedName>
    <definedName name="solver_opt" localSheetId="14" hidden="1">'Team 11'!$D$2</definedName>
    <definedName name="solver_opt" localSheetId="15" hidden="1">'Team 12'!$D$2</definedName>
    <definedName name="solver_opt" localSheetId="16" hidden="1">'Team 13'!$D$2</definedName>
    <definedName name="solver_opt" localSheetId="17" hidden="1">'Team 14'!$D$2</definedName>
    <definedName name="solver_opt" localSheetId="18" hidden="1">'Team 15'!$D$2</definedName>
    <definedName name="solver_opt" localSheetId="19" hidden="1">'Team 16'!$D$2</definedName>
    <definedName name="solver_opt" localSheetId="20" hidden="1">'Team 17'!$D$2</definedName>
    <definedName name="solver_opt" localSheetId="21" hidden="1">'Team 18'!$D$2</definedName>
    <definedName name="solver_opt" localSheetId="22" hidden="1">'Team 19'!$D$2</definedName>
    <definedName name="solver_opt" localSheetId="5" hidden="1">'Team 2'!$D$2</definedName>
    <definedName name="solver_opt" localSheetId="23" hidden="1">'Team 20'!$D$2</definedName>
    <definedName name="solver_opt" localSheetId="6" hidden="1">'Team 3'!$D$2</definedName>
    <definedName name="solver_opt" localSheetId="7" hidden="1">'Team 4'!$D$2</definedName>
    <definedName name="solver_opt" localSheetId="8" hidden="1">'Team 5'!$D$2</definedName>
    <definedName name="solver_opt" localSheetId="9" hidden="1">'Team 6'!$D$2</definedName>
    <definedName name="solver_opt" localSheetId="10" hidden="1">'Team 7'!$D$2</definedName>
    <definedName name="solver_opt" localSheetId="11" hidden="1">'Team 8'!$D$2</definedName>
    <definedName name="solver_opt" localSheetId="12" hidden="1">'Team 9'!$D$2</definedName>
    <definedName name="solver_opt_ob" localSheetId="0" hidden="1">1</definedName>
    <definedName name="solver_pre" localSheetId="0" hidden="1">0.000001</definedName>
    <definedName name="solver_pre" localSheetId="4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18" hidden="1">0.000001</definedName>
    <definedName name="solver_pre" localSheetId="19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5" hidden="1">0.000001</definedName>
    <definedName name="solver_pre" localSheetId="23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si" localSheetId="0" hidden="1">0</definedName>
    <definedName name="solver_rbv" localSheetId="0" hidden="1">2</definedName>
    <definedName name="solver_rbv" localSheetId="4" hidden="1">1</definedName>
    <definedName name="solver_rbv" localSheetId="13" hidden="1">1</definedName>
    <definedName name="solver_rbv" localSheetId="14" hidden="1">1</definedName>
    <definedName name="solver_rbv" localSheetId="15" hidden="1">1</definedName>
    <definedName name="solver_rbv" localSheetId="16" hidden="1">1</definedName>
    <definedName name="solver_rbv" localSheetId="17" hidden="1">1</definedName>
    <definedName name="solver_rbv" localSheetId="18" hidden="1">1</definedName>
    <definedName name="solver_rbv" localSheetId="19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bv" localSheetId="5" hidden="1">1</definedName>
    <definedName name="solver_rbv" localSheetId="23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0" hidden="1">1</definedName>
    <definedName name="solver_rbv" localSheetId="11" hidden="1">1</definedName>
    <definedName name="solver_rbv" localSheetId="12" hidden="1">1</definedName>
    <definedName name="solver_rdp" localSheetId="0" hidden="1">0</definedName>
    <definedName name="solver_reco1" localSheetId="0" hidden="1">0</definedName>
    <definedName name="solver_rel1" localSheetId="0" hidden="1">1</definedName>
    <definedName name="solver_rel1" localSheetId="4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18" hidden="1">1</definedName>
    <definedName name="solver_rel1" localSheetId="19" hidden="1">1</definedName>
    <definedName name="solver_rel1" localSheetId="20" hidden="1">1</definedName>
    <definedName name="solver_rel1" localSheetId="21" hidden="1">1</definedName>
    <definedName name="solver_rel1" localSheetId="22" hidden="1">1</definedName>
    <definedName name="solver_rel1" localSheetId="5" hidden="1">1</definedName>
    <definedName name="solver_rel1" localSheetId="23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2" localSheetId="0" hidden="1">1</definedName>
    <definedName name="solver_rep" localSheetId="0" hidden="1">0</definedName>
    <definedName name="solver_rhs1" localSheetId="0" hidden="1">Model!$F$5:$F$8</definedName>
    <definedName name="solver_rhs1" localSheetId="4" hidden="1">'Team 1'!$F$5:$F$8</definedName>
    <definedName name="solver_rhs1" localSheetId="13" hidden="1">'Team 10'!$F$5:$F$8</definedName>
    <definedName name="solver_rhs1" localSheetId="14" hidden="1">'Team 11'!$F$5:$F$8</definedName>
    <definedName name="solver_rhs1" localSheetId="15" hidden="1">'Team 12'!$F$5:$F$8</definedName>
    <definedName name="solver_rhs1" localSheetId="16" hidden="1">'Team 13'!$F$5:$F$8</definedName>
    <definedName name="solver_rhs1" localSheetId="17" hidden="1">'Team 14'!$F$5:$F$8</definedName>
    <definedName name="solver_rhs1" localSheetId="18" hidden="1">'Team 15'!$F$5:$F$8</definedName>
    <definedName name="solver_rhs1" localSheetId="19" hidden="1">'Team 16'!$F$5:$F$8</definedName>
    <definedName name="solver_rhs1" localSheetId="20" hidden="1">'Team 17'!$F$5:$F$8</definedName>
    <definedName name="solver_rhs1" localSheetId="21" hidden="1">'Team 18'!$F$5:$F$8</definedName>
    <definedName name="solver_rhs1" localSheetId="22" hidden="1">'Team 19'!$F$5:$F$8</definedName>
    <definedName name="solver_rhs1" localSheetId="5" hidden="1">'Team 2'!$F$5:$F$8</definedName>
    <definedName name="solver_rhs1" localSheetId="23" hidden="1">'Team 20'!$F$5:$F$8</definedName>
    <definedName name="solver_rhs1" localSheetId="6" hidden="1">'Team 3'!$F$5:$F$8</definedName>
    <definedName name="solver_rhs1" localSheetId="7" hidden="1">'Team 4'!$F$5:$F$8</definedName>
    <definedName name="solver_rhs1" localSheetId="8" hidden="1">'Team 5'!$F$5:$F$8</definedName>
    <definedName name="solver_rhs1" localSheetId="9" hidden="1">'Team 6'!$F$5:$F$8</definedName>
    <definedName name="solver_rhs1" localSheetId="10" hidden="1">'Team 7'!$F$5:$F$8</definedName>
    <definedName name="solver_rhs1" localSheetId="11" hidden="1">'Team 8'!$F$5:$F$8</definedName>
    <definedName name="solver_rhs1" localSheetId="12" hidden="1">'Team 9'!$F$5:$F$8</definedName>
    <definedName name="solver_rhs2" localSheetId="0" hidden="1">Model!$F$5:$F$8</definedName>
    <definedName name="solver_rlx" localSheetId="0" hidden="1">2</definedName>
    <definedName name="solver_rlx" localSheetId="4" hidden="1">1</definedName>
    <definedName name="solver_rlx" localSheetId="13" hidden="1">1</definedName>
    <definedName name="solver_rlx" localSheetId="14" hidden="1">1</definedName>
    <definedName name="solver_rlx" localSheetId="15" hidden="1">1</definedName>
    <definedName name="solver_rlx" localSheetId="16" hidden="1">2</definedName>
    <definedName name="solver_rlx" localSheetId="17" hidden="1">2</definedName>
    <definedName name="solver_rlx" localSheetId="18" hidden="1">2</definedName>
    <definedName name="solver_rlx" localSheetId="19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lx" localSheetId="5" hidden="1">1</definedName>
    <definedName name="solver_rlx" localSheetId="23" hidden="1">2</definedName>
    <definedName name="solver_rlx" localSheetId="6" hidden="1">1</definedName>
    <definedName name="solver_rlx" localSheetId="7" hidden="1">1</definedName>
    <definedName name="solver_rlx" localSheetId="8" hidden="1">1</definedName>
    <definedName name="solver_rlx" localSheetId="9" hidden="1">1</definedName>
    <definedName name="solver_rlx" localSheetId="10" hidden="1">1</definedName>
    <definedName name="solver_rlx" localSheetId="11" hidden="1">1</definedName>
    <definedName name="solver_rlx" localSheetId="12" hidden="1">1</definedName>
    <definedName name="solver_rsd" localSheetId="0" hidden="1">0</definedName>
    <definedName name="solver_rsd" localSheetId="4" hidden="1">0</definedName>
    <definedName name="solver_rsd" localSheetId="13" hidden="1">0</definedName>
    <definedName name="solver_rsd" localSheetId="14" hidden="1">0</definedName>
    <definedName name="solver_rsd" localSheetId="15" hidden="1">0</definedName>
    <definedName name="solver_rsd" localSheetId="16" hidden="1">0</definedName>
    <definedName name="solver_rsd" localSheetId="17" hidden="1">0</definedName>
    <definedName name="solver_rsd" localSheetId="18" hidden="1">0</definedName>
    <definedName name="solver_rsd" localSheetId="19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d" localSheetId="5" hidden="1">0</definedName>
    <definedName name="solver_rsd" localSheetId="23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v" localSheetId="0" hidden="1">1</definedName>
    <definedName name="solver_scl" localSheetId="0" hidden="1">2</definedName>
    <definedName name="solver_scl" localSheetId="4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18" hidden="1">2</definedName>
    <definedName name="solver_scl" localSheetId="19" hidden="1">2</definedName>
    <definedName name="solver_scl" localSheetId="20" hidden="1">2</definedName>
    <definedName name="solver_scl" localSheetId="21" hidden="1">2</definedName>
    <definedName name="solver_scl" localSheetId="22" hidden="1">2</definedName>
    <definedName name="solver_scl" localSheetId="5" hidden="1">2</definedName>
    <definedName name="solver_scl" localSheetId="23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eed" hidden="1">0</definedName>
    <definedName name="solver_sel" localSheetId="0" hidden="1">1</definedName>
    <definedName name="solver_sho" localSheetId="0" hidden="1">2</definedName>
    <definedName name="solver_sho" localSheetId="4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5" hidden="1">2</definedName>
    <definedName name="solver_sho" localSheetId="23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lv" localSheetId="0" hidden="1">0</definedName>
    <definedName name="solver_slvu" localSheetId="0" hidden="1">0</definedName>
    <definedName name="solver_ssz" localSheetId="0" hidden="1">100</definedName>
    <definedName name="solver_ssz" localSheetId="4" hidden="1">100</definedName>
    <definedName name="solver_ssz" localSheetId="13" hidden="1">100</definedName>
    <definedName name="solver_ssz" localSheetId="14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18" hidden="1">100</definedName>
    <definedName name="solver_ssz" localSheetId="19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ssz" localSheetId="5" hidden="1">100</definedName>
    <definedName name="solver_ssz" localSheetId="23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tim" localSheetId="0" hidden="1">100</definedName>
    <definedName name="solver_tim" localSheetId="4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18" hidden="1">100</definedName>
    <definedName name="solver_tim" localSheetId="19" hidden="1">100</definedName>
    <definedName name="solver_tim" localSheetId="20" hidden="1">100</definedName>
    <definedName name="solver_tim" localSheetId="21" hidden="1">100</definedName>
    <definedName name="solver_tim" localSheetId="22" hidden="1">100</definedName>
    <definedName name="solver_tim" localSheetId="5" hidden="1">100</definedName>
    <definedName name="solver_tim" localSheetId="23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ol" localSheetId="0" hidden="1">0.05</definedName>
    <definedName name="solver_tol" localSheetId="4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18" hidden="1">0.05</definedName>
    <definedName name="solver_tol" localSheetId="19" hidden="1">0.05</definedName>
    <definedName name="solver_tol" localSheetId="20" hidden="1">0.05</definedName>
    <definedName name="solver_tol" localSheetId="21" hidden="1">0.05</definedName>
    <definedName name="solver_tol" localSheetId="22" hidden="1">0.05</definedName>
    <definedName name="solver_tol" localSheetId="5" hidden="1">0.05</definedName>
    <definedName name="solver_tol" localSheetId="23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yp" localSheetId="0" hidden="1">1</definedName>
    <definedName name="solver_typ" localSheetId="4" hidden="1">1</definedName>
    <definedName name="solver_typ" localSheetId="13" hidden="1">1</definedName>
    <definedName name="solver_typ" localSheetId="14" hidden="1">1</definedName>
    <definedName name="solver_typ" localSheetId="15" hidden="1">1</definedName>
    <definedName name="solver_typ" localSheetId="16" hidden="1">1</definedName>
    <definedName name="solver_typ" localSheetId="17" hidden="1">1</definedName>
    <definedName name="solver_typ" localSheetId="18" hidden="1">1</definedName>
    <definedName name="solver_typ" localSheetId="19" hidden="1">1</definedName>
    <definedName name="solver_typ" localSheetId="20" hidden="1">1</definedName>
    <definedName name="solver_typ" localSheetId="21" hidden="1">1</definedName>
    <definedName name="solver_typ" localSheetId="22" hidden="1">1</definedName>
    <definedName name="solver_typ" localSheetId="5" hidden="1">1</definedName>
    <definedName name="solver_typ" localSheetId="23" hidden="1">1</definedName>
    <definedName name="solver_typ" localSheetId="6" hidden="1">1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10" hidden="1">1</definedName>
    <definedName name="solver_typ" localSheetId="11" hidden="1">1</definedName>
    <definedName name="solver_typ" localSheetId="12" hidden="1">1</definedName>
    <definedName name="solver_ubigm" localSheetId="0" hidden="1">1000000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l" localSheetId="4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5" hidden="1">0</definedName>
    <definedName name="solver_val" localSheetId="23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r" localSheetId="0" hidden="1">" "</definedName>
    <definedName name="solver_ver" localSheetId="0" hidden="1">3</definedName>
    <definedName name="solver_ver" localSheetId="4" hidden="1">3</definedName>
    <definedName name="solver_ver" localSheetId="13" hidden="1">3</definedName>
    <definedName name="solver_ver" localSheetId="14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8" hidden="1">3</definedName>
    <definedName name="solver_ver" localSheetId="19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er" localSheetId="5" hidden="1">3</definedName>
    <definedName name="solver_ver" localSheetId="23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31" l="1"/>
  <c r="G7" i="31"/>
  <c r="G6" i="31"/>
  <c r="G5" i="31"/>
  <c r="G8" i="30"/>
  <c r="G7" i="30"/>
  <c r="G6" i="30"/>
  <c r="G5" i="30"/>
  <c r="G8" i="29"/>
  <c r="F8" i="29" s="1"/>
  <c r="G7" i="29"/>
  <c r="G6" i="29"/>
  <c r="G5" i="29"/>
  <c r="G8" i="28"/>
  <c r="G7" i="28"/>
  <c r="F7" i="28" s="1"/>
  <c r="G6" i="28"/>
  <c r="G5" i="28"/>
  <c r="G8" i="27"/>
  <c r="F8" i="27" s="1"/>
  <c r="G7" i="27"/>
  <c r="G6" i="27"/>
  <c r="G5" i="27"/>
  <c r="B17" i="19"/>
  <c r="C17" i="19"/>
  <c r="D17" i="19"/>
  <c r="E17" i="19"/>
  <c r="B18" i="19"/>
  <c r="C18" i="19"/>
  <c r="D18" i="19"/>
  <c r="E18" i="19"/>
  <c r="B19" i="19"/>
  <c r="C19" i="19"/>
  <c r="D19" i="19"/>
  <c r="E19" i="19"/>
  <c r="B20" i="19"/>
  <c r="C20" i="19"/>
  <c r="D20" i="19"/>
  <c r="E20" i="19"/>
  <c r="B21" i="19"/>
  <c r="C21" i="19"/>
  <c r="D21" i="19"/>
  <c r="E21" i="19"/>
  <c r="Y31" i="31"/>
  <c r="X31" i="31"/>
  <c r="W31" i="31"/>
  <c r="V31" i="31"/>
  <c r="M31" i="31"/>
  <c r="L31" i="31"/>
  <c r="F7" i="31" s="1"/>
  <c r="K31" i="31"/>
  <c r="J31" i="31"/>
  <c r="AE30" i="31"/>
  <c r="S30" i="31"/>
  <c r="AE29" i="31"/>
  <c r="S29" i="31"/>
  <c r="AE28" i="31"/>
  <c r="S28" i="31"/>
  <c r="AE27" i="31"/>
  <c r="S27" i="31"/>
  <c r="AE26" i="31"/>
  <c r="S26" i="31"/>
  <c r="AE25" i="31"/>
  <c r="S25" i="31"/>
  <c r="AE24" i="31"/>
  <c r="S24" i="31"/>
  <c r="AE23" i="31"/>
  <c r="S23" i="31"/>
  <c r="AE22" i="31"/>
  <c r="S22" i="31"/>
  <c r="AE21" i="31"/>
  <c r="S21" i="31"/>
  <c r="AE20" i="31"/>
  <c r="S20" i="31"/>
  <c r="AE19" i="31"/>
  <c r="S19" i="31"/>
  <c r="AE18" i="31"/>
  <c r="S18" i="31"/>
  <c r="AE17" i="31"/>
  <c r="S17" i="31"/>
  <c r="AE16" i="31"/>
  <c r="S16" i="31"/>
  <c r="AE15" i="31"/>
  <c r="S15" i="31"/>
  <c r="AE14" i="31"/>
  <c r="S14" i="31"/>
  <c r="AE13" i="31"/>
  <c r="S13" i="31"/>
  <c r="C13" i="31"/>
  <c r="B13" i="31"/>
  <c r="AE12" i="31"/>
  <c r="S12" i="31"/>
  <c r="AE11" i="31"/>
  <c r="S11" i="31"/>
  <c r="AE10" i="31"/>
  <c r="S10" i="31"/>
  <c r="AE9" i="31"/>
  <c r="S9" i="31"/>
  <c r="AE8" i="31"/>
  <c r="S8" i="31"/>
  <c r="F8" i="31"/>
  <c r="D8" i="31"/>
  <c r="AE7" i="31"/>
  <c r="S7" i="31"/>
  <c r="D7" i="31"/>
  <c r="AE6" i="31"/>
  <c r="S6" i="31"/>
  <c r="D6" i="31"/>
  <c r="F5" i="31"/>
  <c r="D5" i="31"/>
  <c r="D2" i="31"/>
  <c r="AH4" i="31" s="1"/>
  <c r="Y31" i="30"/>
  <c r="X31" i="30"/>
  <c r="W31" i="30"/>
  <c r="V31" i="30"/>
  <c r="M31" i="30"/>
  <c r="F8" i="30" s="1"/>
  <c r="L31" i="30"/>
  <c r="K31" i="30"/>
  <c r="J31" i="30"/>
  <c r="AE30" i="30"/>
  <c r="S30" i="30"/>
  <c r="AE29" i="30"/>
  <c r="S29" i="30"/>
  <c r="AE28" i="30"/>
  <c r="S28" i="30"/>
  <c r="AE27" i="30"/>
  <c r="S27" i="30"/>
  <c r="AE26" i="30"/>
  <c r="S26" i="30"/>
  <c r="AE25" i="30"/>
  <c r="S25" i="30"/>
  <c r="AE24" i="30"/>
  <c r="S24" i="30"/>
  <c r="AE23" i="30"/>
  <c r="S23" i="30"/>
  <c r="AE22" i="30"/>
  <c r="S22" i="30"/>
  <c r="AE21" i="30"/>
  <c r="S21" i="30"/>
  <c r="AE20" i="30"/>
  <c r="S20" i="30"/>
  <c r="AE19" i="30"/>
  <c r="S19" i="30"/>
  <c r="AE18" i="30"/>
  <c r="S18" i="30"/>
  <c r="AE17" i="30"/>
  <c r="S17" i="30"/>
  <c r="AE16" i="30"/>
  <c r="S16" i="30"/>
  <c r="AE15" i="30"/>
  <c r="S15" i="30"/>
  <c r="AE14" i="30"/>
  <c r="S14" i="30"/>
  <c r="AE13" i="30"/>
  <c r="S13" i="30"/>
  <c r="C13" i="30"/>
  <c r="B13" i="30"/>
  <c r="AE12" i="30"/>
  <c r="S12" i="30"/>
  <c r="AE11" i="30"/>
  <c r="S11" i="30"/>
  <c r="AE10" i="30"/>
  <c r="S10" i="30"/>
  <c r="AE9" i="30"/>
  <c r="S9" i="30"/>
  <c r="AE8" i="30"/>
  <c r="S8" i="30"/>
  <c r="D8" i="30"/>
  <c r="AE7" i="30"/>
  <c r="S7" i="30"/>
  <c r="F7" i="30"/>
  <c r="D7" i="30"/>
  <c r="AE6" i="30"/>
  <c r="S6" i="30"/>
  <c r="F6" i="30"/>
  <c r="D6" i="30"/>
  <c r="F5" i="30"/>
  <c r="D5" i="30"/>
  <c r="D2" i="30"/>
  <c r="AH4" i="30" s="1"/>
  <c r="Y31" i="29"/>
  <c r="X31" i="29"/>
  <c r="W31" i="29"/>
  <c r="V31" i="29"/>
  <c r="M31" i="29"/>
  <c r="L31" i="29"/>
  <c r="K31" i="29"/>
  <c r="J31" i="29"/>
  <c r="F5" i="29" s="1"/>
  <c r="AE30" i="29"/>
  <c r="S30" i="29"/>
  <c r="AE29" i="29"/>
  <c r="S29" i="29"/>
  <c r="AE28" i="29"/>
  <c r="S28" i="29"/>
  <c r="AE27" i="29"/>
  <c r="S27" i="29"/>
  <c r="AE26" i="29"/>
  <c r="S26" i="29"/>
  <c r="AE25" i="29"/>
  <c r="S25" i="29"/>
  <c r="AE24" i="29"/>
  <c r="S24" i="29"/>
  <c r="AE23" i="29"/>
  <c r="S23" i="29"/>
  <c r="AE22" i="29"/>
  <c r="S22" i="29"/>
  <c r="AE21" i="29"/>
  <c r="S21" i="29"/>
  <c r="AE20" i="29"/>
  <c r="S20" i="29"/>
  <c r="AE19" i="29"/>
  <c r="S19" i="29"/>
  <c r="AE18" i="29"/>
  <c r="S18" i="29"/>
  <c r="AE17" i="29"/>
  <c r="S17" i="29"/>
  <c r="AE16" i="29"/>
  <c r="S16" i="29"/>
  <c r="AE15" i="29"/>
  <c r="S15" i="29"/>
  <c r="AE14" i="29"/>
  <c r="S14" i="29"/>
  <c r="AE13" i="29"/>
  <c r="S13" i="29"/>
  <c r="C13" i="29"/>
  <c r="B13" i="29"/>
  <c r="AE12" i="29"/>
  <c r="S12" i="29"/>
  <c r="AE11" i="29"/>
  <c r="S11" i="29"/>
  <c r="AE10" i="29"/>
  <c r="S10" i="29"/>
  <c r="AE9" i="29"/>
  <c r="S9" i="29"/>
  <c r="AE8" i="29"/>
  <c r="S8" i="29"/>
  <c r="D8" i="29"/>
  <c r="AE7" i="29"/>
  <c r="S7" i="29"/>
  <c r="F7" i="29"/>
  <c r="D7" i="29"/>
  <c r="AE6" i="29"/>
  <c r="S6" i="29"/>
  <c r="S31" i="29" s="1"/>
  <c r="I5" i="29" s="1"/>
  <c r="AH5" i="29" s="1"/>
  <c r="F6" i="29"/>
  <c r="D6" i="29"/>
  <c r="D5" i="29"/>
  <c r="D2" i="29"/>
  <c r="AH4" i="29" s="1"/>
  <c r="Y31" i="28"/>
  <c r="X31" i="28"/>
  <c r="W31" i="28"/>
  <c r="F6" i="28" s="1"/>
  <c r="V31" i="28"/>
  <c r="M31" i="28"/>
  <c r="L31" i="28"/>
  <c r="K31" i="28"/>
  <c r="J31" i="28"/>
  <c r="AE30" i="28"/>
  <c r="S30" i="28"/>
  <c r="AE29" i="28"/>
  <c r="S29" i="28"/>
  <c r="AE28" i="28"/>
  <c r="S28" i="28"/>
  <c r="AE27" i="28"/>
  <c r="S27" i="28"/>
  <c r="AE26" i="28"/>
  <c r="S26" i="28"/>
  <c r="AE25" i="28"/>
  <c r="S25" i="28"/>
  <c r="AE24" i="28"/>
  <c r="S24" i="28"/>
  <c r="AE23" i="28"/>
  <c r="S23" i="28"/>
  <c r="AE22" i="28"/>
  <c r="S22" i="28"/>
  <c r="AE21" i="28"/>
  <c r="S21" i="28"/>
  <c r="AE20" i="28"/>
  <c r="S20" i="28"/>
  <c r="AE19" i="28"/>
  <c r="S19" i="28"/>
  <c r="AE18" i="28"/>
  <c r="S18" i="28"/>
  <c r="AE17" i="28"/>
  <c r="S17" i="28"/>
  <c r="AE16" i="28"/>
  <c r="S16" i="28"/>
  <c r="AE15" i="28"/>
  <c r="S15" i="28"/>
  <c r="AE14" i="28"/>
  <c r="S14" i="28"/>
  <c r="AE13" i="28"/>
  <c r="S13" i="28"/>
  <c r="C13" i="28"/>
  <c r="B13" i="28"/>
  <c r="AE12" i="28"/>
  <c r="S12" i="28"/>
  <c r="AE11" i="28"/>
  <c r="S11" i="28"/>
  <c r="AE10" i="28"/>
  <c r="S10" i="28"/>
  <c r="AE9" i="28"/>
  <c r="S9" i="28"/>
  <c r="AE8" i="28"/>
  <c r="S8" i="28"/>
  <c r="F8" i="28"/>
  <c r="D8" i="28"/>
  <c r="AE7" i="28"/>
  <c r="S7" i="28"/>
  <c r="D7" i="28"/>
  <c r="AE6" i="28"/>
  <c r="S6" i="28"/>
  <c r="S31" i="28" s="1"/>
  <c r="I5" i="28" s="1"/>
  <c r="AH5" i="28" s="1"/>
  <c r="D6" i="28"/>
  <c r="F5" i="28"/>
  <c r="D5" i="28"/>
  <c r="D2" i="28"/>
  <c r="AH4" i="28" s="1"/>
  <c r="Y31" i="27"/>
  <c r="X31" i="27"/>
  <c r="W31" i="27"/>
  <c r="F6" i="27" s="1"/>
  <c r="V31" i="27"/>
  <c r="M31" i="27"/>
  <c r="L31" i="27"/>
  <c r="F7" i="27" s="1"/>
  <c r="K31" i="27"/>
  <c r="J31" i="27"/>
  <c r="AE30" i="27"/>
  <c r="S30" i="27"/>
  <c r="AE29" i="27"/>
  <c r="S29" i="27"/>
  <c r="AE28" i="27"/>
  <c r="S28" i="27"/>
  <c r="AE27" i="27"/>
  <c r="S27" i="27"/>
  <c r="AE26" i="27"/>
  <c r="S26" i="27"/>
  <c r="AE25" i="27"/>
  <c r="S25" i="27"/>
  <c r="AE24" i="27"/>
  <c r="S24" i="27"/>
  <c r="AE23" i="27"/>
  <c r="S23" i="27"/>
  <c r="AE22" i="27"/>
  <c r="S22" i="27"/>
  <c r="AE21" i="27"/>
  <c r="S21" i="27"/>
  <c r="AE20" i="27"/>
  <c r="S20" i="27"/>
  <c r="AE19" i="27"/>
  <c r="S19" i="27"/>
  <c r="AE18" i="27"/>
  <c r="S18" i="27"/>
  <c r="AE17" i="27"/>
  <c r="S17" i="27"/>
  <c r="AE16" i="27"/>
  <c r="S16" i="27"/>
  <c r="AE15" i="27"/>
  <c r="S15" i="27"/>
  <c r="AE14" i="27"/>
  <c r="S14" i="27"/>
  <c r="AE13" i="27"/>
  <c r="S13" i="27"/>
  <c r="C13" i="27"/>
  <c r="B13" i="27"/>
  <c r="AE12" i="27"/>
  <c r="S12" i="27"/>
  <c r="AE11" i="27"/>
  <c r="S11" i="27"/>
  <c r="AE10" i="27"/>
  <c r="S10" i="27"/>
  <c r="AE9" i="27"/>
  <c r="S9" i="27"/>
  <c r="AE8" i="27"/>
  <c r="S8" i="27"/>
  <c r="D8" i="27"/>
  <c r="AE7" i="27"/>
  <c r="S7" i="27"/>
  <c r="D7" i="27"/>
  <c r="AE6" i="27"/>
  <c r="S6" i="27"/>
  <c r="D6" i="27"/>
  <c r="F5" i="27"/>
  <c r="D5" i="27"/>
  <c r="D2" i="27"/>
  <c r="AH4" i="27" s="1"/>
  <c r="G8" i="26"/>
  <c r="G7" i="26"/>
  <c r="G6" i="26"/>
  <c r="G5" i="26"/>
  <c r="G8" i="25"/>
  <c r="G7" i="25"/>
  <c r="F7" i="25" s="1"/>
  <c r="G6" i="25"/>
  <c r="G5" i="25"/>
  <c r="G8" i="24"/>
  <c r="F8" i="24" s="1"/>
  <c r="G7" i="24"/>
  <c r="G6" i="24"/>
  <c r="G5" i="24"/>
  <c r="Y31" i="26"/>
  <c r="X31" i="26"/>
  <c r="W31" i="26"/>
  <c r="V31" i="26"/>
  <c r="M31" i="26"/>
  <c r="F8" i="26" s="1"/>
  <c r="L31" i="26"/>
  <c r="K31" i="26"/>
  <c r="J31" i="26"/>
  <c r="AE30" i="26"/>
  <c r="S30" i="26"/>
  <c r="AE29" i="26"/>
  <c r="S29" i="26"/>
  <c r="AE28" i="26"/>
  <c r="S28" i="26"/>
  <c r="AE27" i="26"/>
  <c r="S27" i="26"/>
  <c r="AE26" i="26"/>
  <c r="S26" i="26"/>
  <c r="AE25" i="26"/>
  <c r="S25" i="26"/>
  <c r="AE24" i="26"/>
  <c r="S24" i="26"/>
  <c r="AE23" i="26"/>
  <c r="S23" i="26"/>
  <c r="AE22" i="26"/>
  <c r="S22" i="26"/>
  <c r="AE21" i="26"/>
  <c r="S21" i="26"/>
  <c r="AE20" i="26"/>
  <c r="S20" i="26"/>
  <c r="AE19" i="26"/>
  <c r="S19" i="26"/>
  <c r="AE18" i="26"/>
  <c r="S18" i="26"/>
  <c r="AE17" i="26"/>
  <c r="S17" i="26"/>
  <c r="AE16" i="26"/>
  <c r="S16" i="26"/>
  <c r="AE15" i="26"/>
  <c r="S15" i="26"/>
  <c r="AE14" i="26"/>
  <c r="S14" i="26"/>
  <c r="AE13" i="26"/>
  <c r="S13" i="26"/>
  <c r="C13" i="26"/>
  <c r="B13" i="26"/>
  <c r="AE12" i="26"/>
  <c r="S12" i="26"/>
  <c r="AE11" i="26"/>
  <c r="S11" i="26"/>
  <c r="AE10" i="26"/>
  <c r="S10" i="26"/>
  <c r="AE9" i="26"/>
  <c r="S9" i="26"/>
  <c r="AE8" i="26"/>
  <c r="S8" i="26"/>
  <c r="D8" i="26"/>
  <c r="AE7" i="26"/>
  <c r="S7" i="26"/>
  <c r="D7" i="26"/>
  <c r="AE6" i="26"/>
  <c r="AE31" i="26" s="1"/>
  <c r="U5" i="26" s="1"/>
  <c r="AH6" i="26" s="1"/>
  <c r="S6" i="26"/>
  <c r="D6" i="26"/>
  <c r="D5" i="26"/>
  <c r="D2" i="26"/>
  <c r="AH4" i="26" s="1"/>
  <c r="Y31" i="25"/>
  <c r="X31" i="25"/>
  <c r="W31" i="25"/>
  <c r="V31" i="25"/>
  <c r="F5" i="25" s="1"/>
  <c r="M31" i="25"/>
  <c r="L31" i="25"/>
  <c r="K31" i="25"/>
  <c r="J31" i="25"/>
  <c r="AE30" i="25"/>
  <c r="S30" i="25"/>
  <c r="AE29" i="25"/>
  <c r="S29" i="25"/>
  <c r="AE28" i="25"/>
  <c r="S28" i="25"/>
  <c r="AE27" i="25"/>
  <c r="S27" i="25"/>
  <c r="AE26" i="25"/>
  <c r="S26" i="25"/>
  <c r="AE25" i="25"/>
  <c r="S25" i="25"/>
  <c r="AE24" i="25"/>
  <c r="S24" i="25"/>
  <c r="AE23" i="25"/>
  <c r="S23" i="25"/>
  <c r="AE22" i="25"/>
  <c r="S22" i="25"/>
  <c r="AE21" i="25"/>
  <c r="S21" i="25"/>
  <c r="AE20" i="25"/>
  <c r="S20" i="25"/>
  <c r="AE19" i="25"/>
  <c r="S19" i="25"/>
  <c r="AE18" i="25"/>
  <c r="S18" i="25"/>
  <c r="AE17" i="25"/>
  <c r="S17" i="25"/>
  <c r="AE16" i="25"/>
  <c r="S16" i="25"/>
  <c r="AE15" i="25"/>
  <c r="S15" i="25"/>
  <c r="AE14" i="25"/>
  <c r="S14" i="25"/>
  <c r="AE13" i="25"/>
  <c r="S13" i="25"/>
  <c r="C13" i="25"/>
  <c r="B13" i="25"/>
  <c r="AE12" i="25"/>
  <c r="S12" i="25"/>
  <c r="AE11" i="25"/>
  <c r="S11" i="25"/>
  <c r="AE10" i="25"/>
  <c r="S10" i="25"/>
  <c r="AE9" i="25"/>
  <c r="S9" i="25"/>
  <c r="AE8" i="25"/>
  <c r="S8" i="25"/>
  <c r="D8" i="25"/>
  <c r="AE7" i="25"/>
  <c r="S7" i="25"/>
  <c r="D7" i="25"/>
  <c r="AE6" i="25"/>
  <c r="S6" i="25"/>
  <c r="D6" i="25"/>
  <c r="D5" i="25"/>
  <c r="D2" i="25"/>
  <c r="AH4" i="25" s="1"/>
  <c r="Y31" i="24"/>
  <c r="X31" i="24"/>
  <c r="W31" i="24"/>
  <c r="V31" i="24"/>
  <c r="M31" i="24"/>
  <c r="L31" i="24"/>
  <c r="K31" i="24"/>
  <c r="J31" i="24"/>
  <c r="AE30" i="24"/>
  <c r="S30" i="24"/>
  <c r="AE29" i="24"/>
  <c r="S29" i="24"/>
  <c r="AE28" i="24"/>
  <c r="S28" i="24"/>
  <c r="AE27" i="24"/>
  <c r="S27" i="24"/>
  <c r="AE26" i="24"/>
  <c r="S26" i="24"/>
  <c r="AE25" i="24"/>
  <c r="S25" i="24"/>
  <c r="AE24" i="24"/>
  <c r="S24" i="24"/>
  <c r="AE23" i="24"/>
  <c r="S23" i="24"/>
  <c r="AE22" i="24"/>
  <c r="S22" i="24"/>
  <c r="AE21" i="24"/>
  <c r="S21" i="24"/>
  <c r="AE20" i="24"/>
  <c r="S20" i="24"/>
  <c r="AE19" i="24"/>
  <c r="S19" i="24"/>
  <c r="AE18" i="24"/>
  <c r="S18" i="24"/>
  <c r="AE17" i="24"/>
  <c r="S17" i="24"/>
  <c r="AE16" i="24"/>
  <c r="S16" i="24"/>
  <c r="AE15" i="24"/>
  <c r="S15" i="24"/>
  <c r="AE14" i="24"/>
  <c r="S14" i="24"/>
  <c r="AE13" i="24"/>
  <c r="S13" i="24"/>
  <c r="C13" i="24"/>
  <c r="B13" i="24"/>
  <c r="AE12" i="24"/>
  <c r="S12" i="24"/>
  <c r="AE11" i="24"/>
  <c r="S11" i="24"/>
  <c r="AE10" i="24"/>
  <c r="S10" i="24"/>
  <c r="AE9" i="24"/>
  <c r="S9" i="24"/>
  <c r="AE8" i="24"/>
  <c r="S8" i="24"/>
  <c r="D8" i="24"/>
  <c r="AE7" i="24"/>
  <c r="S7" i="24"/>
  <c r="D7" i="24"/>
  <c r="AE6" i="24"/>
  <c r="S6" i="24"/>
  <c r="F6" i="24"/>
  <c r="D6" i="24"/>
  <c r="D5" i="24"/>
  <c r="D2" i="24"/>
  <c r="AH4" i="24" s="1"/>
  <c r="E16" i="19"/>
  <c r="D16" i="19"/>
  <c r="C16" i="19"/>
  <c r="B16" i="19"/>
  <c r="E15" i="19"/>
  <c r="D15" i="19"/>
  <c r="C15" i="19"/>
  <c r="B15" i="19"/>
  <c r="E14" i="19"/>
  <c r="D14" i="19"/>
  <c r="C14" i="19"/>
  <c r="B14" i="19"/>
  <c r="G8" i="23"/>
  <c r="G7" i="23"/>
  <c r="F7" i="23" s="1"/>
  <c r="G6" i="23"/>
  <c r="G5" i="23"/>
  <c r="G5" i="22"/>
  <c r="G8" i="22"/>
  <c r="G7" i="22"/>
  <c r="G6" i="22"/>
  <c r="E13" i="19"/>
  <c r="D13" i="19"/>
  <c r="C13" i="19"/>
  <c r="B13" i="19"/>
  <c r="E12" i="19"/>
  <c r="D12" i="19"/>
  <c r="C12" i="19"/>
  <c r="B12" i="19"/>
  <c r="Y31" i="23"/>
  <c r="X31" i="23"/>
  <c r="W31" i="23"/>
  <c r="V31" i="23"/>
  <c r="M31" i="23"/>
  <c r="L31" i="23"/>
  <c r="K31" i="23"/>
  <c r="J31" i="23"/>
  <c r="AE30" i="23"/>
  <c r="S30" i="23"/>
  <c r="AE29" i="23"/>
  <c r="S29" i="23"/>
  <c r="AE28" i="23"/>
  <c r="S28" i="23"/>
  <c r="AE27" i="23"/>
  <c r="S27" i="23"/>
  <c r="AE26" i="23"/>
  <c r="S26" i="23"/>
  <c r="AE25" i="23"/>
  <c r="S25" i="23"/>
  <c r="AE24" i="23"/>
  <c r="S24" i="23"/>
  <c r="AE23" i="23"/>
  <c r="S23" i="23"/>
  <c r="AE22" i="23"/>
  <c r="S22" i="23"/>
  <c r="AE21" i="23"/>
  <c r="S21" i="23"/>
  <c r="AE20" i="23"/>
  <c r="S20" i="23"/>
  <c r="AE19" i="23"/>
  <c r="S19" i="23"/>
  <c r="AE18" i="23"/>
  <c r="S18" i="23"/>
  <c r="AE17" i="23"/>
  <c r="S17" i="23"/>
  <c r="AE16" i="23"/>
  <c r="S16" i="23"/>
  <c r="AE15" i="23"/>
  <c r="S15" i="23"/>
  <c r="AE14" i="23"/>
  <c r="S14" i="23"/>
  <c r="AE13" i="23"/>
  <c r="S13" i="23"/>
  <c r="C13" i="23"/>
  <c r="B13" i="23"/>
  <c r="AE12" i="23"/>
  <c r="S12" i="23"/>
  <c r="AE11" i="23"/>
  <c r="S11" i="23"/>
  <c r="AE10" i="23"/>
  <c r="S10" i="23"/>
  <c r="AE9" i="23"/>
  <c r="S9" i="23"/>
  <c r="AE8" i="23"/>
  <c r="S8" i="23"/>
  <c r="D8" i="23"/>
  <c r="AE7" i="23"/>
  <c r="S7" i="23"/>
  <c r="D7" i="23"/>
  <c r="AE6" i="23"/>
  <c r="S6" i="23"/>
  <c r="D6" i="23"/>
  <c r="D5" i="23"/>
  <c r="D2" i="23"/>
  <c r="AH4" i="23" s="1"/>
  <c r="Y31" i="22"/>
  <c r="X31" i="22"/>
  <c r="W31" i="22"/>
  <c r="V31" i="22"/>
  <c r="M31" i="22"/>
  <c r="L31" i="22"/>
  <c r="K31" i="22"/>
  <c r="J31" i="22"/>
  <c r="AE30" i="22"/>
  <c r="S30" i="22"/>
  <c r="AE29" i="22"/>
  <c r="S29" i="22"/>
  <c r="AE28" i="22"/>
  <c r="S28" i="22"/>
  <c r="AE27" i="22"/>
  <c r="S27" i="22"/>
  <c r="AE26" i="22"/>
  <c r="S26" i="22"/>
  <c r="AE25" i="22"/>
  <c r="S25" i="22"/>
  <c r="AE24" i="22"/>
  <c r="S24" i="22"/>
  <c r="AE23" i="22"/>
  <c r="S23" i="22"/>
  <c r="AE22" i="22"/>
  <c r="S22" i="22"/>
  <c r="AE21" i="22"/>
  <c r="S21" i="22"/>
  <c r="AE20" i="22"/>
  <c r="S20" i="22"/>
  <c r="AE19" i="22"/>
  <c r="S19" i="22"/>
  <c r="AE18" i="22"/>
  <c r="S18" i="22"/>
  <c r="AE17" i="22"/>
  <c r="S17" i="22"/>
  <c r="AE16" i="22"/>
  <c r="S16" i="22"/>
  <c r="AE15" i="22"/>
  <c r="S15" i="22"/>
  <c r="AE14" i="22"/>
  <c r="S14" i="22"/>
  <c r="AE13" i="22"/>
  <c r="S13" i="22"/>
  <c r="C13" i="22"/>
  <c r="B13" i="22"/>
  <c r="AE12" i="22"/>
  <c r="S12" i="22"/>
  <c r="AE11" i="22"/>
  <c r="S11" i="22"/>
  <c r="AE10" i="22"/>
  <c r="S10" i="22"/>
  <c r="AE9" i="22"/>
  <c r="S9" i="22"/>
  <c r="AE8" i="22"/>
  <c r="S8" i="22"/>
  <c r="F8" i="22"/>
  <c r="D8" i="22"/>
  <c r="AE7" i="22"/>
  <c r="S7" i="22"/>
  <c r="D7" i="22"/>
  <c r="AE6" i="22"/>
  <c r="S6" i="22"/>
  <c r="D6" i="22"/>
  <c r="D5" i="22"/>
  <c r="D2" i="22"/>
  <c r="AH4" i="22" s="1"/>
  <c r="AE31" i="29" l="1"/>
  <c r="U5" i="29" s="1"/>
  <c r="AH6" i="29" s="1"/>
  <c r="S31" i="31"/>
  <c r="I5" i="31" s="1"/>
  <c r="AH5" i="31" s="1"/>
  <c r="F6" i="25"/>
  <c r="AE31" i="31"/>
  <c r="U5" i="31" s="1"/>
  <c r="AH6" i="31" s="1"/>
  <c r="AH7" i="31" s="1"/>
  <c r="C21" i="6" s="1"/>
  <c r="D21" i="6" s="1"/>
  <c r="S31" i="24"/>
  <c r="I5" i="24" s="1"/>
  <c r="AH5" i="24" s="1"/>
  <c r="F8" i="25"/>
  <c r="AE31" i="28"/>
  <c r="U5" i="28" s="1"/>
  <c r="AH6" i="28" s="1"/>
  <c r="AH7" i="28" s="1"/>
  <c r="C18" i="6" s="1"/>
  <c r="D18" i="6" s="1"/>
  <c r="F6" i="23"/>
  <c r="AE31" i="24"/>
  <c r="U5" i="24" s="1"/>
  <c r="AH6" i="24" s="1"/>
  <c r="F5" i="24"/>
  <c r="F5" i="26"/>
  <c r="S31" i="30"/>
  <c r="I5" i="30" s="1"/>
  <c r="AH5" i="30" s="1"/>
  <c r="AH7" i="30" s="1"/>
  <c r="C20" i="6" s="1"/>
  <c r="D20" i="6" s="1"/>
  <c r="F5" i="23"/>
  <c r="S31" i="25"/>
  <c r="I5" i="25" s="1"/>
  <c r="AH5" i="25" s="1"/>
  <c r="AH7" i="25" s="1"/>
  <c r="C15" i="6" s="1"/>
  <c r="D15" i="6" s="1"/>
  <c r="F6" i="26"/>
  <c r="S31" i="27"/>
  <c r="I5" i="27" s="1"/>
  <c r="AH5" i="27" s="1"/>
  <c r="AH7" i="27" s="1"/>
  <c r="C17" i="6" s="1"/>
  <c r="D17" i="6" s="1"/>
  <c r="AE31" i="30"/>
  <c r="U5" i="30" s="1"/>
  <c r="AH6" i="30" s="1"/>
  <c r="F6" i="31"/>
  <c r="AE31" i="23"/>
  <c r="U5" i="23" s="1"/>
  <c r="AH6" i="23" s="1"/>
  <c r="F8" i="23"/>
  <c r="F5" i="22"/>
  <c r="AE31" i="25"/>
  <c r="U5" i="25" s="1"/>
  <c r="AH6" i="25" s="1"/>
  <c r="S31" i="26"/>
  <c r="I5" i="26" s="1"/>
  <c r="AH5" i="26" s="1"/>
  <c r="F7" i="24"/>
  <c r="F7" i="26"/>
  <c r="AE31" i="27"/>
  <c r="U5" i="27" s="1"/>
  <c r="AH6" i="27" s="1"/>
  <c r="AH7" i="29"/>
  <c r="C19" i="6" s="1"/>
  <c r="D19" i="6" s="1"/>
  <c r="AH7" i="26"/>
  <c r="AH7" i="24"/>
  <c r="C14" i="6" s="1"/>
  <c r="D14" i="6" s="1"/>
  <c r="F7" i="22"/>
  <c r="AE31" i="22"/>
  <c r="U5" i="22" s="1"/>
  <c r="AH6" i="22" s="1"/>
  <c r="S31" i="22"/>
  <c r="I5" i="22" s="1"/>
  <c r="AH5" i="22" s="1"/>
  <c r="AH7" i="22" s="1"/>
  <c r="C12" i="6" s="1"/>
  <c r="D12" i="6" s="1"/>
  <c r="S31" i="23"/>
  <c r="I5" i="23" s="1"/>
  <c r="AH5" i="23" s="1"/>
  <c r="F6" i="22"/>
  <c r="G8" i="18"/>
  <c r="F8" i="18" s="1"/>
  <c r="G7" i="18"/>
  <c r="G6" i="18"/>
  <c r="G5" i="18"/>
  <c r="Y31" i="18"/>
  <c r="X31" i="18"/>
  <c r="W31" i="18"/>
  <c r="V31" i="18"/>
  <c r="M31" i="18"/>
  <c r="L31" i="18"/>
  <c r="K31" i="18"/>
  <c r="J31" i="18"/>
  <c r="AE30" i="18"/>
  <c r="S30" i="18"/>
  <c r="AE29" i="18"/>
  <c r="S29" i="18"/>
  <c r="AE28" i="18"/>
  <c r="S28" i="18"/>
  <c r="AE27" i="18"/>
  <c r="S27" i="18"/>
  <c r="AE26" i="18"/>
  <c r="S26" i="18"/>
  <c r="AE25" i="18"/>
  <c r="S25" i="18"/>
  <c r="AE24" i="18"/>
  <c r="S24" i="18"/>
  <c r="AE23" i="18"/>
  <c r="S23" i="18"/>
  <c r="AE22" i="18"/>
  <c r="S22" i="18"/>
  <c r="AE21" i="18"/>
  <c r="S21" i="18"/>
  <c r="AE20" i="18"/>
  <c r="S20" i="18"/>
  <c r="AE19" i="18"/>
  <c r="S19" i="18"/>
  <c r="AE18" i="18"/>
  <c r="S18" i="18"/>
  <c r="AE17" i="18"/>
  <c r="S17" i="18"/>
  <c r="AE16" i="18"/>
  <c r="S16" i="18"/>
  <c r="AE15" i="18"/>
  <c r="S15" i="18"/>
  <c r="AE14" i="18"/>
  <c r="S14" i="18"/>
  <c r="AE13" i="18"/>
  <c r="S13" i="18"/>
  <c r="C13" i="18"/>
  <c r="B13" i="18"/>
  <c r="AE12" i="18"/>
  <c r="S12" i="18"/>
  <c r="AE11" i="18"/>
  <c r="S11" i="18"/>
  <c r="AE10" i="18"/>
  <c r="S10" i="18"/>
  <c r="AE9" i="18"/>
  <c r="S9" i="18"/>
  <c r="AE8" i="18"/>
  <c r="S8" i="18"/>
  <c r="D8" i="18"/>
  <c r="AE7" i="18"/>
  <c r="S7" i="18"/>
  <c r="D7" i="18"/>
  <c r="AE6" i="18"/>
  <c r="S6" i="18"/>
  <c r="D6" i="18"/>
  <c r="D5" i="18"/>
  <c r="D2" i="18"/>
  <c r="AH4" i="18" s="1"/>
  <c r="G8" i="17"/>
  <c r="G7" i="17"/>
  <c r="G6" i="17"/>
  <c r="G5" i="17"/>
  <c r="Y31" i="17"/>
  <c r="X31" i="17"/>
  <c r="W31" i="17"/>
  <c r="V31" i="17"/>
  <c r="M31" i="17"/>
  <c r="L31" i="17"/>
  <c r="K31" i="17"/>
  <c r="J31" i="17"/>
  <c r="AE30" i="17"/>
  <c r="S30" i="17"/>
  <c r="AE29" i="17"/>
  <c r="S29" i="17"/>
  <c r="AE28" i="17"/>
  <c r="S28" i="17"/>
  <c r="AE27" i="17"/>
  <c r="S27" i="17"/>
  <c r="AE26" i="17"/>
  <c r="S26" i="17"/>
  <c r="AE25" i="17"/>
  <c r="S25" i="17"/>
  <c r="AE24" i="17"/>
  <c r="S24" i="17"/>
  <c r="AE23" i="17"/>
  <c r="S23" i="17"/>
  <c r="AE22" i="17"/>
  <c r="S22" i="17"/>
  <c r="AE21" i="17"/>
  <c r="S21" i="17"/>
  <c r="AE20" i="17"/>
  <c r="S20" i="17"/>
  <c r="AE19" i="17"/>
  <c r="S19" i="17"/>
  <c r="AE18" i="17"/>
  <c r="S18" i="17"/>
  <c r="AE17" i="17"/>
  <c r="S17" i="17"/>
  <c r="AE16" i="17"/>
  <c r="S16" i="17"/>
  <c r="AE15" i="17"/>
  <c r="S15" i="17"/>
  <c r="AE14" i="17"/>
  <c r="S14" i="17"/>
  <c r="AE13" i="17"/>
  <c r="S13" i="17"/>
  <c r="C13" i="17"/>
  <c r="B13" i="17"/>
  <c r="AE12" i="17"/>
  <c r="S12" i="17"/>
  <c r="AE11" i="17"/>
  <c r="S11" i="17"/>
  <c r="AE10" i="17"/>
  <c r="S10" i="17"/>
  <c r="AE9" i="17"/>
  <c r="S9" i="17"/>
  <c r="AE8" i="17"/>
  <c r="S8" i="17"/>
  <c r="F8" i="17"/>
  <c r="D8" i="17"/>
  <c r="AE7" i="17"/>
  <c r="S7" i="17"/>
  <c r="D7" i="17"/>
  <c r="AE6" i="17"/>
  <c r="S6" i="17"/>
  <c r="D6" i="17"/>
  <c r="D5" i="17"/>
  <c r="D2" i="17"/>
  <c r="AH4" i="17" s="1"/>
  <c r="G8" i="16"/>
  <c r="G7" i="16"/>
  <c r="G6" i="16"/>
  <c r="G5" i="16"/>
  <c r="Y31" i="16"/>
  <c r="X31" i="16"/>
  <c r="W31" i="16"/>
  <c r="V31" i="16"/>
  <c r="M31" i="16"/>
  <c r="L31" i="16"/>
  <c r="K31" i="16"/>
  <c r="J31" i="16"/>
  <c r="AE30" i="16"/>
  <c r="S30" i="16"/>
  <c r="AE29" i="16"/>
  <c r="S29" i="16"/>
  <c r="AE28" i="16"/>
  <c r="S28" i="16"/>
  <c r="AE27" i="16"/>
  <c r="S27" i="16"/>
  <c r="AE26" i="16"/>
  <c r="S26" i="16"/>
  <c r="AE25" i="16"/>
  <c r="S25" i="16"/>
  <c r="AE24" i="16"/>
  <c r="S24" i="16"/>
  <c r="AE23" i="16"/>
  <c r="S23" i="16"/>
  <c r="AE22" i="16"/>
  <c r="S22" i="16"/>
  <c r="AE21" i="16"/>
  <c r="S21" i="16"/>
  <c r="AE20" i="16"/>
  <c r="S20" i="16"/>
  <c r="AE19" i="16"/>
  <c r="S19" i="16"/>
  <c r="AE18" i="16"/>
  <c r="S18" i="16"/>
  <c r="AE17" i="16"/>
  <c r="S17" i="16"/>
  <c r="AE16" i="16"/>
  <c r="S16" i="16"/>
  <c r="AE15" i="16"/>
  <c r="S15" i="16"/>
  <c r="AE14" i="16"/>
  <c r="S14" i="16"/>
  <c r="AE13" i="16"/>
  <c r="S13" i="16"/>
  <c r="C13" i="16"/>
  <c r="B13" i="16"/>
  <c r="AE12" i="16"/>
  <c r="S12" i="16"/>
  <c r="AE11" i="16"/>
  <c r="S11" i="16"/>
  <c r="AE10" i="16"/>
  <c r="S10" i="16"/>
  <c r="AE9" i="16"/>
  <c r="S9" i="16"/>
  <c r="AE8" i="16"/>
  <c r="S8" i="16"/>
  <c r="D8" i="16"/>
  <c r="AE7" i="16"/>
  <c r="S7" i="16"/>
  <c r="D7" i="16"/>
  <c r="AE6" i="16"/>
  <c r="S6" i="16"/>
  <c r="D6" i="16"/>
  <c r="D5" i="16"/>
  <c r="D2" i="16"/>
  <c r="AH4" i="16" s="1"/>
  <c r="G8" i="15"/>
  <c r="G7" i="15"/>
  <c r="G6" i="15"/>
  <c r="G5" i="15"/>
  <c r="Y31" i="15"/>
  <c r="X31" i="15"/>
  <c r="W31" i="15"/>
  <c r="V31" i="15"/>
  <c r="M31" i="15"/>
  <c r="L31" i="15"/>
  <c r="K31" i="15"/>
  <c r="J31" i="15"/>
  <c r="AE30" i="15"/>
  <c r="S30" i="15"/>
  <c r="AE29" i="15"/>
  <c r="S29" i="15"/>
  <c r="AE28" i="15"/>
  <c r="S28" i="15"/>
  <c r="AE27" i="15"/>
  <c r="S27" i="15"/>
  <c r="AE26" i="15"/>
  <c r="S26" i="15"/>
  <c r="AE25" i="15"/>
  <c r="S25" i="15"/>
  <c r="AE24" i="15"/>
  <c r="S24" i="15"/>
  <c r="AE23" i="15"/>
  <c r="S23" i="15"/>
  <c r="AE22" i="15"/>
  <c r="S22" i="15"/>
  <c r="AE21" i="15"/>
  <c r="S21" i="15"/>
  <c r="AE20" i="15"/>
  <c r="S20" i="15"/>
  <c r="AE19" i="15"/>
  <c r="S19" i="15"/>
  <c r="AE18" i="15"/>
  <c r="S18" i="15"/>
  <c r="AE17" i="15"/>
  <c r="S17" i="15"/>
  <c r="AE16" i="15"/>
  <c r="S16" i="15"/>
  <c r="AE15" i="15"/>
  <c r="S15" i="15"/>
  <c r="AE14" i="15"/>
  <c r="S14" i="15"/>
  <c r="AE13" i="15"/>
  <c r="S13" i="15"/>
  <c r="C13" i="15"/>
  <c r="B13" i="15"/>
  <c r="AE12" i="15"/>
  <c r="S12" i="15"/>
  <c r="AE11" i="15"/>
  <c r="S11" i="15"/>
  <c r="AE10" i="15"/>
  <c r="S10" i="15"/>
  <c r="AE9" i="15"/>
  <c r="S9" i="15"/>
  <c r="AE8" i="15"/>
  <c r="S8" i="15"/>
  <c r="F8" i="15"/>
  <c r="D8" i="15"/>
  <c r="AE7" i="15"/>
  <c r="S7" i="15"/>
  <c r="D7" i="15"/>
  <c r="AE6" i="15"/>
  <c r="S6" i="15"/>
  <c r="D6" i="15"/>
  <c r="D5" i="15"/>
  <c r="D2" i="15"/>
  <c r="AH4" i="15" s="1"/>
  <c r="G8" i="14"/>
  <c r="G7" i="14"/>
  <c r="G6" i="14"/>
  <c r="G5" i="14"/>
  <c r="Y31" i="14"/>
  <c r="X31" i="14"/>
  <c r="W31" i="14"/>
  <c r="V31" i="14"/>
  <c r="M31" i="14"/>
  <c r="L31" i="14"/>
  <c r="K31" i="14"/>
  <c r="J31" i="14"/>
  <c r="AE30" i="14"/>
  <c r="S30" i="14"/>
  <c r="AE29" i="14"/>
  <c r="S29" i="14"/>
  <c r="AE28" i="14"/>
  <c r="S28" i="14"/>
  <c r="AE27" i="14"/>
  <c r="S27" i="14"/>
  <c r="AE26" i="14"/>
  <c r="S26" i="14"/>
  <c r="AE25" i="14"/>
  <c r="S25" i="14"/>
  <c r="AE24" i="14"/>
  <c r="S24" i="14"/>
  <c r="AE23" i="14"/>
  <c r="S23" i="14"/>
  <c r="AE22" i="14"/>
  <c r="S22" i="14"/>
  <c r="AE21" i="14"/>
  <c r="S21" i="14"/>
  <c r="AE20" i="14"/>
  <c r="S20" i="14"/>
  <c r="AE19" i="14"/>
  <c r="S19" i="14"/>
  <c r="AE18" i="14"/>
  <c r="S18" i="14"/>
  <c r="AE17" i="14"/>
  <c r="S17" i="14"/>
  <c r="AE16" i="14"/>
  <c r="S16" i="14"/>
  <c r="AE15" i="14"/>
  <c r="S15" i="14"/>
  <c r="AE14" i="14"/>
  <c r="S14" i="14"/>
  <c r="AE13" i="14"/>
  <c r="S13" i="14"/>
  <c r="C13" i="14"/>
  <c r="B13" i="14"/>
  <c r="AE12" i="14"/>
  <c r="S12" i="14"/>
  <c r="AE11" i="14"/>
  <c r="S11" i="14"/>
  <c r="AE10" i="14"/>
  <c r="S10" i="14"/>
  <c r="AE9" i="14"/>
  <c r="S9" i="14"/>
  <c r="AE8" i="14"/>
  <c r="S8" i="14"/>
  <c r="F8" i="14"/>
  <c r="D8" i="14"/>
  <c r="AE7" i="14"/>
  <c r="S7" i="14"/>
  <c r="D7" i="14"/>
  <c r="AE6" i="14"/>
  <c r="AE31" i="14" s="1"/>
  <c r="U5" i="14" s="1"/>
  <c r="AH6" i="14" s="1"/>
  <c r="S6" i="14"/>
  <c r="D6" i="14"/>
  <c r="D5" i="14"/>
  <c r="D2" i="14"/>
  <c r="AH4" i="14" s="1"/>
  <c r="G8" i="13"/>
  <c r="G7" i="13"/>
  <c r="G6" i="13"/>
  <c r="G5" i="13"/>
  <c r="Y31" i="13"/>
  <c r="X31" i="13"/>
  <c r="W31" i="13"/>
  <c r="V31" i="13"/>
  <c r="M31" i="13"/>
  <c r="L31" i="13"/>
  <c r="K31" i="13"/>
  <c r="J31" i="13"/>
  <c r="AE30" i="13"/>
  <c r="S30" i="13"/>
  <c r="AE29" i="13"/>
  <c r="S29" i="13"/>
  <c r="AE28" i="13"/>
  <c r="S28" i="13"/>
  <c r="AE27" i="13"/>
  <c r="S27" i="13"/>
  <c r="AE26" i="13"/>
  <c r="S26" i="13"/>
  <c r="AE25" i="13"/>
  <c r="S25" i="13"/>
  <c r="AE24" i="13"/>
  <c r="S24" i="13"/>
  <c r="AE23" i="13"/>
  <c r="S23" i="13"/>
  <c r="AE22" i="13"/>
  <c r="S22" i="13"/>
  <c r="AE21" i="13"/>
  <c r="S21" i="13"/>
  <c r="AE20" i="13"/>
  <c r="S20" i="13"/>
  <c r="AE19" i="13"/>
  <c r="S19" i="13"/>
  <c r="AE18" i="13"/>
  <c r="S18" i="13"/>
  <c r="AE17" i="13"/>
  <c r="S17" i="13"/>
  <c r="AE16" i="13"/>
  <c r="S16" i="13"/>
  <c r="AE15" i="13"/>
  <c r="S15" i="13"/>
  <c r="AE14" i="13"/>
  <c r="S14" i="13"/>
  <c r="AE13" i="13"/>
  <c r="S13" i="13"/>
  <c r="C13" i="13"/>
  <c r="B13" i="13"/>
  <c r="AE12" i="13"/>
  <c r="S12" i="13"/>
  <c r="AE11" i="13"/>
  <c r="S11" i="13"/>
  <c r="AE10" i="13"/>
  <c r="S10" i="13"/>
  <c r="AE9" i="13"/>
  <c r="S9" i="13"/>
  <c r="AE8" i="13"/>
  <c r="S8" i="13"/>
  <c r="D8" i="13"/>
  <c r="AE7" i="13"/>
  <c r="S7" i="13"/>
  <c r="D7" i="13"/>
  <c r="AE6" i="13"/>
  <c r="S6" i="13"/>
  <c r="D6" i="13"/>
  <c r="D5" i="13"/>
  <c r="D2" i="13"/>
  <c r="AH4" i="13" s="1"/>
  <c r="G8" i="12"/>
  <c r="G7" i="12"/>
  <c r="G6" i="12"/>
  <c r="G5" i="12"/>
  <c r="Y31" i="12"/>
  <c r="X31" i="12"/>
  <c r="F7" i="12" s="1"/>
  <c r="W31" i="12"/>
  <c r="F6" i="12" s="1"/>
  <c r="V31" i="12"/>
  <c r="M31" i="12"/>
  <c r="L31" i="12"/>
  <c r="K31" i="12"/>
  <c r="J31" i="12"/>
  <c r="AE30" i="12"/>
  <c r="S30" i="12"/>
  <c r="AE29" i="12"/>
  <c r="S29" i="12"/>
  <c r="AE28" i="12"/>
  <c r="S28" i="12"/>
  <c r="AE27" i="12"/>
  <c r="S27" i="12"/>
  <c r="AE26" i="12"/>
  <c r="S26" i="12"/>
  <c r="AE25" i="12"/>
  <c r="S25" i="12"/>
  <c r="AE24" i="12"/>
  <c r="S24" i="12"/>
  <c r="AE23" i="12"/>
  <c r="S23" i="12"/>
  <c r="AE22" i="12"/>
  <c r="S22" i="12"/>
  <c r="AE21" i="12"/>
  <c r="S21" i="12"/>
  <c r="AE20" i="12"/>
  <c r="S20" i="12"/>
  <c r="AE19" i="12"/>
  <c r="S19" i="12"/>
  <c r="AE18" i="12"/>
  <c r="S18" i="12"/>
  <c r="AE17" i="12"/>
  <c r="S17" i="12"/>
  <c r="AE16" i="12"/>
  <c r="S16" i="12"/>
  <c r="AE15" i="12"/>
  <c r="S15" i="12"/>
  <c r="AE14" i="12"/>
  <c r="S14" i="12"/>
  <c r="AE13" i="12"/>
  <c r="S13" i="12"/>
  <c r="C13" i="12"/>
  <c r="B13" i="12"/>
  <c r="AE12" i="12"/>
  <c r="S12" i="12"/>
  <c r="AE11" i="12"/>
  <c r="S11" i="12"/>
  <c r="AE10" i="12"/>
  <c r="S10" i="12"/>
  <c r="AE9" i="12"/>
  <c r="S9" i="12"/>
  <c r="AE8" i="12"/>
  <c r="S8" i="12"/>
  <c r="D8" i="12"/>
  <c r="AE7" i="12"/>
  <c r="S7" i="12"/>
  <c r="D7" i="12"/>
  <c r="AE6" i="12"/>
  <c r="S6" i="12"/>
  <c r="D6" i="12"/>
  <c r="D5" i="12"/>
  <c r="D2" i="12"/>
  <c r="AH4" i="12" s="1"/>
  <c r="G8" i="11"/>
  <c r="G7" i="11"/>
  <c r="G6" i="11"/>
  <c r="G5" i="11"/>
  <c r="G8" i="10"/>
  <c r="G7" i="10"/>
  <c r="G6" i="10"/>
  <c r="G5" i="10"/>
  <c r="G8" i="9"/>
  <c r="G7" i="9"/>
  <c r="G6" i="9"/>
  <c r="G5" i="9"/>
  <c r="Y31" i="11"/>
  <c r="X31" i="11"/>
  <c r="W31" i="11"/>
  <c r="V31" i="11"/>
  <c r="F5" i="11" s="1"/>
  <c r="M31" i="11"/>
  <c r="L31" i="11"/>
  <c r="K31" i="11"/>
  <c r="J31" i="11"/>
  <c r="AE30" i="11"/>
  <c r="S30" i="11"/>
  <c r="AE29" i="11"/>
  <c r="S29" i="11"/>
  <c r="AE28" i="11"/>
  <c r="S28" i="11"/>
  <c r="AE27" i="11"/>
  <c r="S27" i="11"/>
  <c r="AE26" i="11"/>
  <c r="S26" i="11"/>
  <c r="AE25" i="11"/>
  <c r="S25" i="11"/>
  <c r="AE24" i="11"/>
  <c r="S24" i="11"/>
  <c r="AE23" i="11"/>
  <c r="S23" i="11"/>
  <c r="AE22" i="11"/>
  <c r="S22" i="11"/>
  <c r="AE21" i="11"/>
  <c r="S21" i="11"/>
  <c r="AE20" i="11"/>
  <c r="S20" i="11"/>
  <c r="AE19" i="11"/>
  <c r="S19" i="11"/>
  <c r="AE18" i="11"/>
  <c r="S18" i="11"/>
  <c r="AE17" i="11"/>
  <c r="S17" i="11"/>
  <c r="AE16" i="11"/>
  <c r="S16" i="11"/>
  <c r="AE15" i="11"/>
  <c r="S15" i="11"/>
  <c r="AE14" i="11"/>
  <c r="S14" i="11"/>
  <c r="AE13" i="11"/>
  <c r="S13" i="11"/>
  <c r="C13" i="11"/>
  <c r="B13" i="11"/>
  <c r="AE12" i="11"/>
  <c r="S12" i="11"/>
  <c r="AE11" i="11"/>
  <c r="S11" i="11"/>
  <c r="AE10" i="11"/>
  <c r="S10" i="11"/>
  <c r="AE9" i="11"/>
  <c r="S9" i="11"/>
  <c r="AE8" i="11"/>
  <c r="S8" i="11"/>
  <c r="D8" i="11"/>
  <c r="AE7" i="11"/>
  <c r="S7" i="11"/>
  <c r="D7" i="11"/>
  <c r="AE6" i="11"/>
  <c r="S6" i="11"/>
  <c r="D6" i="11"/>
  <c r="D5" i="11"/>
  <c r="D2" i="11"/>
  <c r="AH4" i="11" s="1"/>
  <c r="Y31" i="10"/>
  <c r="X31" i="10"/>
  <c r="W31" i="10"/>
  <c r="V31" i="10"/>
  <c r="M31" i="10"/>
  <c r="L31" i="10"/>
  <c r="K31" i="10"/>
  <c r="J31" i="10"/>
  <c r="AE30" i="10"/>
  <c r="S30" i="10"/>
  <c r="AE29" i="10"/>
  <c r="S29" i="10"/>
  <c r="AE28" i="10"/>
  <c r="S28" i="10"/>
  <c r="AE27" i="10"/>
  <c r="S27" i="10"/>
  <c r="AE26" i="10"/>
  <c r="S26" i="10"/>
  <c r="AE25" i="10"/>
  <c r="S25" i="10"/>
  <c r="AE24" i="10"/>
  <c r="S24" i="10"/>
  <c r="AE23" i="10"/>
  <c r="S23" i="10"/>
  <c r="AE22" i="10"/>
  <c r="S22" i="10"/>
  <c r="AE21" i="10"/>
  <c r="S21" i="10"/>
  <c r="AE20" i="10"/>
  <c r="S20" i="10"/>
  <c r="AE19" i="10"/>
  <c r="S19" i="10"/>
  <c r="AE18" i="10"/>
  <c r="S18" i="10"/>
  <c r="AE17" i="10"/>
  <c r="S17" i="10"/>
  <c r="AE16" i="10"/>
  <c r="S16" i="10"/>
  <c r="AE15" i="10"/>
  <c r="S15" i="10"/>
  <c r="AE14" i="10"/>
  <c r="S14" i="10"/>
  <c r="AE13" i="10"/>
  <c r="S13" i="10"/>
  <c r="C13" i="10"/>
  <c r="B13" i="10"/>
  <c r="AE12" i="10"/>
  <c r="S12" i="10"/>
  <c r="AE11" i="10"/>
  <c r="S11" i="10"/>
  <c r="AE10" i="10"/>
  <c r="S10" i="10"/>
  <c r="AE9" i="10"/>
  <c r="S9" i="10"/>
  <c r="AE8" i="10"/>
  <c r="S8" i="10"/>
  <c r="D8" i="10"/>
  <c r="AE7" i="10"/>
  <c r="S7" i="10"/>
  <c r="D7" i="10"/>
  <c r="AE6" i="10"/>
  <c r="S6" i="10"/>
  <c r="D6" i="10"/>
  <c r="D5" i="10"/>
  <c r="D2" i="10"/>
  <c r="AH4" i="10" s="1"/>
  <c r="Y31" i="9"/>
  <c r="X31" i="9"/>
  <c r="W31" i="9"/>
  <c r="V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E6" i="9"/>
  <c r="K31" i="9"/>
  <c r="L31" i="9"/>
  <c r="M31" i="9"/>
  <c r="J31" i="9"/>
  <c r="S30" i="9"/>
  <c r="S26" i="9"/>
  <c r="S27" i="9"/>
  <c r="S28" i="9"/>
  <c r="S29" i="9"/>
  <c r="S22" i="9"/>
  <c r="S23" i="9"/>
  <c r="S24" i="9"/>
  <c r="S25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6" i="9"/>
  <c r="E11" i="19"/>
  <c r="D11" i="19"/>
  <c r="C11" i="19"/>
  <c r="B11" i="19"/>
  <c r="E10" i="19"/>
  <c r="D10" i="19"/>
  <c r="C10" i="19"/>
  <c r="B10" i="19"/>
  <c r="E9" i="19"/>
  <c r="D9" i="19"/>
  <c r="C9" i="19"/>
  <c r="B9" i="19"/>
  <c r="E8" i="19"/>
  <c r="D8" i="19"/>
  <c r="C8" i="19"/>
  <c r="B8" i="19"/>
  <c r="E7" i="19"/>
  <c r="D7" i="19"/>
  <c r="C7" i="19"/>
  <c r="B7" i="19"/>
  <c r="E6" i="19"/>
  <c r="D6" i="19"/>
  <c r="C6" i="19"/>
  <c r="B6" i="19"/>
  <c r="E5" i="19"/>
  <c r="D5" i="19"/>
  <c r="C5" i="19"/>
  <c r="B5" i="19"/>
  <c r="E4" i="19"/>
  <c r="D4" i="19"/>
  <c r="C4" i="19"/>
  <c r="B4" i="19"/>
  <c r="E3" i="19"/>
  <c r="D3" i="19"/>
  <c r="C3" i="19"/>
  <c r="B3" i="19"/>
  <c r="E2" i="19"/>
  <c r="D2" i="19"/>
  <c r="C2" i="19"/>
  <c r="B2" i="19"/>
  <c r="C13" i="9"/>
  <c r="B13" i="9"/>
  <c r="D8" i="9"/>
  <c r="D7" i="9"/>
  <c r="D6" i="9"/>
  <c r="D5" i="9"/>
  <c r="D2" i="9"/>
  <c r="AH4" i="9" s="1"/>
  <c r="D2" i="1"/>
  <c r="C16" i="6" l="1"/>
  <c r="D16" i="6" s="1"/>
  <c r="AH7" i="23"/>
  <c r="C13" i="6" s="1"/>
  <c r="D13" i="6" s="1"/>
  <c r="F8" i="16"/>
  <c r="F7" i="14"/>
  <c r="F5" i="10"/>
  <c r="F7" i="17"/>
  <c r="F8" i="13"/>
  <c r="F8" i="10"/>
  <c r="AE31" i="9"/>
  <c r="U5" i="9" s="1"/>
  <c r="AH6" i="9" s="1"/>
  <c r="F8" i="12"/>
  <c r="F7" i="15"/>
  <c r="F7" i="11"/>
  <c r="F8" i="11"/>
  <c r="S31" i="16"/>
  <c r="I5" i="16" s="1"/>
  <c r="AH5" i="16" s="1"/>
  <c r="AH7" i="16" s="1"/>
  <c r="C9" i="6" s="1"/>
  <c r="D9" i="6" s="1"/>
  <c r="F6" i="16"/>
  <c r="S31" i="15"/>
  <c r="I5" i="15" s="1"/>
  <c r="AH5" i="15" s="1"/>
  <c r="F5" i="15"/>
  <c r="AE31" i="16"/>
  <c r="U5" i="16" s="1"/>
  <c r="AH6" i="16" s="1"/>
  <c r="F7" i="16"/>
  <c r="S31" i="14"/>
  <c r="I5" i="14" s="1"/>
  <c r="AH5" i="14" s="1"/>
  <c r="AH7" i="14" s="1"/>
  <c r="C7" i="6" s="1"/>
  <c r="D7" i="6" s="1"/>
  <c r="F5" i="14"/>
  <c r="AE31" i="15"/>
  <c r="U5" i="15" s="1"/>
  <c r="AH6" i="15" s="1"/>
  <c r="F5" i="13"/>
  <c r="S31" i="12"/>
  <c r="I5" i="12" s="1"/>
  <c r="AH5" i="12" s="1"/>
  <c r="F5" i="12"/>
  <c r="F6" i="18"/>
  <c r="S31" i="9"/>
  <c r="I5" i="9" s="1"/>
  <c r="AH5" i="9" s="1"/>
  <c r="AH7" i="9" s="1"/>
  <c r="S31" i="11"/>
  <c r="I5" i="11" s="1"/>
  <c r="AH5" i="11" s="1"/>
  <c r="AE31" i="12"/>
  <c r="U5" i="12" s="1"/>
  <c r="AH6" i="12" s="1"/>
  <c r="S31" i="17"/>
  <c r="I5" i="17" s="1"/>
  <c r="AH5" i="17" s="1"/>
  <c r="AH7" i="17" s="1"/>
  <c r="C10" i="6" s="1"/>
  <c r="D10" i="6" s="1"/>
  <c r="F5" i="17"/>
  <c r="AE31" i="18"/>
  <c r="U5" i="18" s="1"/>
  <c r="AH6" i="18" s="1"/>
  <c r="F7" i="18"/>
  <c r="F6" i="14"/>
  <c r="S31" i="10"/>
  <c r="I5" i="10" s="1"/>
  <c r="AH5" i="10" s="1"/>
  <c r="S31" i="13"/>
  <c r="I5" i="13" s="1"/>
  <c r="AH5" i="13" s="1"/>
  <c r="F6" i="13"/>
  <c r="F5" i="18"/>
  <c r="AE31" i="10"/>
  <c r="U5" i="10" s="1"/>
  <c r="AH6" i="10" s="1"/>
  <c r="AE31" i="13"/>
  <c r="U5" i="13" s="1"/>
  <c r="AH6" i="13" s="1"/>
  <c r="F7" i="13"/>
  <c r="S31" i="18"/>
  <c r="I5" i="18" s="1"/>
  <c r="AH5" i="18" s="1"/>
  <c r="AH7" i="18" s="1"/>
  <c r="C11" i="6" s="1"/>
  <c r="D11" i="6" s="1"/>
  <c r="AE31" i="11"/>
  <c r="U5" i="11" s="1"/>
  <c r="AH6" i="11" s="1"/>
  <c r="F5" i="16"/>
  <c r="AE31" i="17"/>
  <c r="U5" i="17" s="1"/>
  <c r="AH6" i="17" s="1"/>
  <c r="F6" i="17"/>
  <c r="F6" i="15"/>
  <c r="F6" i="11"/>
  <c r="F7" i="10"/>
  <c r="F6" i="9"/>
  <c r="F8" i="9"/>
  <c r="F7" i="9"/>
  <c r="F5" i="9"/>
  <c r="F6" i="10"/>
  <c r="C13" i="1"/>
  <c r="B13" i="1"/>
  <c r="D6" i="1"/>
  <c r="D7" i="1"/>
  <c r="D8" i="1"/>
  <c r="D5" i="1"/>
  <c r="AH7" i="10" l="1"/>
  <c r="C3" i="6" s="1"/>
  <c r="D3" i="6" s="1"/>
  <c r="AH7" i="13"/>
  <c r="C6" i="6" s="1"/>
  <c r="D6" i="6" s="1"/>
  <c r="AH7" i="12"/>
  <c r="C5" i="6" s="1"/>
  <c r="D5" i="6" s="1"/>
  <c r="AH7" i="15"/>
  <c r="C8" i="6" s="1"/>
  <c r="D8" i="6" s="1"/>
  <c r="C2" i="6"/>
  <c r="D2" i="6" s="1"/>
  <c r="AH7" i="11"/>
  <c r="C4" i="6" s="1"/>
  <c r="D4" i="6" s="1"/>
</calcChain>
</file>

<file path=xl/sharedStrings.xml><?xml version="1.0" encoding="utf-8"?>
<sst xmlns="http://schemas.openxmlformats.org/spreadsheetml/2006/main" count="1260" uniqueCount="78">
  <si>
    <t>Deicer</t>
  </si>
  <si>
    <t>Solvent</t>
  </si>
  <si>
    <t>Profit</t>
  </si>
  <si>
    <t>Liquid C</t>
  </si>
  <si>
    <t>Liquid N</t>
  </si>
  <si>
    <t>Liquid D</t>
  </si>
  <si>
    <t>Liquid Q</t>
  </si>
  <si>
    <t>Total</t>
  </si>
  <si>
    <t>Used</t>
  </si>
  <si>
    <t>&lt;=</t>
  </si>
  <si>
    <t>Gallons</t>
  </si>
  <si>
    <t>Gal/Drum</t>
  </si>
  <si>
    <t>Drums</t>
  </si>
  <si>
    <t>Objective</t>
  </si>
  <si>
    <t>Constraints</t>
  </si>
  <si>
    <t>Cell</t>
  </si>
  <si>
    <t>Name</t>
  </si>
  <si>
    <t>Original Value</t>
  </si>
  <si>
    <t>Final Value</t>
  </si>
  <si>
    <t>$D$2</t>
  </si>
  <si>
    <t>Profit Total</t>
  </si>
  <si>
    <t>$B$11</t>
  </si>
  <si>
    <t>Gallons Deicer</t>
  </si>
  <si>
    <t>$C$11</t>
  </si>
  <si>
    <t>Gallons Solvent</t>
  </si>
  <si>
    <t>Cell Value</t>
  </si>
  <si>
    <t>Formula</t>
  </si>
  <si>
    <t>Status</t>
  </si>
  <si>
    <t>Slack</t>
  </si>
  <si>
    <t>$D$5</t>
  </si>
  <si>
    <t>Liquid C Used</t>
  </si>
  <si>
    <t>$D$5&lt;=$F$5</t>
  </si>
  <si>
    <t>Not Binding</t>
  </si>
  <si>
    <t>$D$6</t>
  </si>
  <si>
    <t>Liquid N Used</t>
  </si>
  <si>
    <t>$D$6&lt;=$F$6</t>
  </si>
  <si>
    <t>$D$7</t>
  </si>
  <si>
    <t>Liquid D Used</t>
  </si>
  <si>
    <t>$D$7&lt;=$F$7</t>
  </si>
  <si>
    <t>$D$8</t>
  </si>
  <si>
    <t>Liquid Q Used</t>
  </si>
  <si>
    <t>$D$8&lt;=$F$8</t>
  </si>
  <si>
    <t>Final</t>
  </si>
  <si>
    <t>Reduced</t>
  </si>
  <si>
    <t>Allowable</t>
  </si>
  <si>
    <t>Value</t>
  </si>
  <si>
    <t>Cost</t>
  </si>
  <si>
    <t>Coefficient</t>
  </si>
  <si>
    <t>Increase</t>
  </si>
  <si>
    <t>Decrease</t>
  </si>
  <si>
    <t>Shadow</t>
  </si>
  <si>
    <t>Constraint</t>
  </si>
  <si>
    <t>Price</t>
  </si>
  <si>
    <t>R.H. Side</t>
  </si>
  <si>
    <t>Binding</t>
  </si>
  <si>
    <t>Team</t>
  </si>
  <si>
    <t>Initial Profit</t>
  </si>
  <si>
    <t>% Increase</t>
  </si>
  <si>
    <t>Current Profit</t>
  </si>
  <si>
    <t>Microsoft Excel 12.0 Answer Report</t>
  </si>
  <si>
    <t>Target Cell (Max)</t>
  </si>
  <si>
    <t>Adjustable Cells</t>
  </si>
  <si>
    <t>Microsoft Excel 12.0 Sensitivity Report</t>
  </si>
  <si>
    <t>C</t>
  </si>
  <si>
    <t>N</t>
  </si>
  <si>
    <t>D</t>
  </si>
  <si>
    <t>Q</t>
  </si>
  <si>
    <t>Sales</t>
  </si>
  <si>
    <t>To Firm</t>
  </si>
  <si>
    <t>Initial</t>
  </si>
  <si>
    <t>Available</t>
  </si>
  <si>
    <t>Purchases</t>
  </si>
  <si>
    <t>From Firm</t>
  </si>
  <si>
    <t>Unit Price</t>
  </si>
  <si>
    <t>Production</t>
  </si>
  <si>
    <t>Variables</t>
  </si>
  <si>
    <t>Worksheet: [Deicer and Solvent Model for Math Camp 2016.xlsx]Model</t>
  </si>
  <si>
    <t>Report Created: 7/17/2016 10:11:38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</si>
</sst>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4" xfId="0" applyNumberFormat="1" applyBorder="1"/>
    <xf numFmtId="0" fontId="0" fillId="0" borderId="6" xfId="0" applyBorder="1"/>
    <xf numFmtId="165" fontId="0" fillId="0" borderId="9" xfId="0" applyNumberFormat="1" applyBorder="1"/>
    <xf numFmtId="165" fontId="0" fillId="0" borderId="8" xfId="0" applyNumberFormat="1" applyBorder="1"/>
    <xf numFmtId="0" fontId="0" fillId="0" borderId="15" xfId="0" applyBorder="1"/>
    <xf numFmtId="165" fontId="0" fillId="0" borderId="16" xfId="0" applyNumberFormat="1" applyBorder="1"/>
    <xf numFmtId="0" fontId="0" fillId="0" borderId="9" xfId="0" applyBorder="1"/>
    <xf numFmtId="165" fontId="0" fillId="0" borderId="11" xfId="0" applyNumberFormat="1" applyBorder="1"/>
    <xf numFmtId="0" fontId="0" fillId="0" borderId="7" xfId="0" applyBorder="1"/>
    <xf numFmtId="165" fontId="0" fillId="0" borderId="7" xfId="0" applyNumberFormat="1" applyBorder="1"/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0" xfId="0" applyNumberForma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" xfId="0" applyFont="1" applyBorder="1" applyAlignment="1">
      <alignment horizontal="center"/>
    </xf>
    <xf numFmtId="165" fontId="0" fillId="0" borderId="4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19" xfId="0" applyBorder="1"/>
    <xf numFmtId="165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165" fontId="4" fillId="0" borderId="0" xfId="1" applyNumberFormat="1" applyFont="1"/>
    <xf numFmtId="164" fontId="4" fillId="0" borderId="0" xfId="2" applyNumberFormat="1" applyFont="1"/>
    <xf numFmtId="165" fontId="4" fillId="0" borderId="0" xfId="0" applyNumberFormat="1" applyFont="1"/>
    <xf numFmtId="0" fontId="0" fillId="0" borderId="7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0</xdr:rowOff>
        </xdr:from>
        <xdr:to>
          <xdr:col>4</xdr:col>
          <xdr:colOff>609600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3"/>
  <sheetViews>
    <sheetView zoomScale="180" zoomScaleNormal="180" workbookViewId="0"/>
  </sheetViews>
  <sheetFormatPr defaultRowHeight="15" x14ac:dyDescent="0.25"/>
  <cols>
    <col min="1" max="1" width="11" bestFit="1" customWidth="1"/>
    <col min="2" max="3" width="9.28515625" bestFit="1" customWidth="1"/>
    <col min="4" max="4" width="10.28515625" bestFit="1" customWidth="1"/>
    <col min="5" max="5" width="3" bestFit="1" customWidth="1"/>
  </cols>
  <sheetData>
    <row r="1" spans="1:6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6" x14ac:dyDescent="0.25">
      <c r="A2" s="19" t="s">
        <v>2</v>
      </c>
      <c r="B2" s="25">
        <v>2</v>
      </c>
      <c r="C2" s="25">
        <v>3</v>
      </c>
      <c r="D2" s="20">
        <f>SUMPRODUCT(B2:C2,$B$11:$C$11)</f>
        <v>9090.9090909090901</v>
      </c>
    </row>
    <row r="4" spans="1:6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6" t="s">
        <v>70</v>
      </c>
    </row>
    <row r="5" spans="1:6" x14ac:dyDescent="0.25">
      <c r="A5" s="17" t="s">
        <v>3</v>
      </c>
      <c r="B5">
        <v>0.5</v>
      </c>
      <c r="C5">
        <v>0</v>
      </c>
      <c r="D5">
        <f>SUMPRODUCT(B5:C5,$B$11:$C$11)</f>
        <v>909.09090909090912</v>
      </c>
      <c r="E5" t="s">
        <v>9</v>
      </c>
      <c r="F5" s="26">
        <v>1000</v>
      </c>
    </row>
    <row r="6" spans="1:6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1000</v>
      </c>
      <c r="E6" t="s">
        <v>9</v>
      </c>
      <c r="F6" s="26">
        <v>1000</v>
      </c>
    </row>
    <row r="7" spans="1:6" x14ac:dyDescent="0.25">
      <c r="A7" s="17" t="s">
        <v>5</v>
      </c>
      <c r="B7">
        <v>0.2</v>
      </c>
      <c r="C7">
        <v>0.35</v>
      </c>
      <c r="D7">
        <f t="shared" si="0"/>
        <v>1000</v>
      </c>
      <c r="E7" t="s">
        <v>9</v>
      </c>
      <c r="F7" s="26">
        <v>1000</v>
      </c>
    </row>
    <row r="8" spans="1:6" x14ac:dyDescent="0.25">
      <c r="A8" s="19" t="s">
        <v>6</v>
      </c>
      <c r="B8" s="9">
        <v>0</v>
      </c>
      <c r="C8" s="9">
        <v>0.4</v>
      </c>
      <c r="D8" s="9">
        <f t="shared" si="0"/>
        <v>727.27272727272725</v>
      </c>
      <c r="E8" s="9" t="s">
        <v>9</v>
      </c>
      <c r="F8" s="10">
        <v>1000</v>
      </c>
    </row>
    <row r="10" spans="1:6" x14ac:dyDescent="0.25">
      <c r="A10" s="14" t="s">
        <v>75</v>
      </c>
      <c r="B10" s="5" t="s">
        <v>0</v>
      </c>
      <c r="C10" s="6" t="s">
        <v>1</v>
      </c>
    </row>
    <row r="11" spans="1:6" x14ac:dyDescent="0.25">
      <c r="A11" s="17" t="s">
        <v>10</v>
      </c>
      <c r="B11">
        <v>1818.1818181818182</v>
      </c>
      <c r="C11" s="26">
        <v>1818.181818181818</v>
      </c>
    </row>
    <row r="12" spans="1:6" x14ac:dyDescent="0.25">
      <c r="A12" s="17" t="s">
        <v>11</v>
      </c>
      <c r="B12">
        <v>50</v>
      </c>
      <c r="C12" s="26">
        <v>20</v>
      </c>
    </row>
    <row r="13" spans="1:6" x14ac:dyDescent="0.25">
      <c r="A13" s="19" t="s">
        <v>12</v>
      </c>
      <c r="B13" s="9">
        <f>B11/B12</f>
        <v>36.363636363636367</v>
      </c>
      <c r="C13" s="10">
        <f>C11/C12</f>
        <v>90.909090909090907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2"/>
  <sheetViews>
    <sheetView showGridLines="0" workbookViewId="0"/>
  </sheetViews>
  <sheetFormatPr defaultRowHeight="15" x14ac:dyDescent="0.25"/>
  <cols>
    <col min="1" max="1" width="2.28515625" customWidth="1"/>
    <col min="2" max="2" width="6.140625" bestFit="1" customWidth="1"/>
    <col min="3" max="3" width="14.85546875" bestFit="1" customWidth="1"/>
    <col min="4" max="4" width="13.7109375" bestFit="1" customWidth="1"/>
    <col min="5" max="5" width="12" bestFit="1" customWidth="1"/>
    <col min="6" max="6" width="11.42578125" bestFit="1" customWidth="1"/>
    <col min="7" max="7" width="12" bestFit="1" customWidth="1"/>
  </cols>
  <sheetData>
    <row r="1" spans="1:5" x14ac:dyDescent="0.25">
      <c r="A1" s="1" t="s">
        <v>59</v>
      </c>
    </row>
    <row r="2" spans="1:5" x14ac:dyDescent="0.25">
      <c r="A2" s="1" t="s">
        <v>76</v>
      </c>
    </row>
    <row r="3" spans="1:5" x14ac:dyDescent="0.25">
      <c r="A3" s="1" t="s">
        <v>77</v>
      </c>
    </row>
    <row r="6" spans="1:5" ht="15.75" thickBot="1" x14ac:dyDescent="0.3">
      <c r="A6" t="s">
        <v>60</v>
      </c>
    </row>
    <row r="7" spans="1:5" ht="15.75" thickBot="1" x14ac:dyDescent="0.3">
      <c r="B7" s="31" t="s">
        <v>15</v>
      </c>
      <c r="C7" s="31" t="s">
        <v>16</v>
      </c>
      <c r="D7" s="31" t="s">
        <v>17</v>
      </c>
      <c r="E7" s="31" t="s">
        <v>18</v>
      </c>
    </row>
    <row r="8" spans="1:5" ht="15.75" thickBot="1" x14ac:dyDescent="0.3">
      <c r="B8" s="2" t="s">
        <v>19</v>
      </c>
      <c r="C8" s="2" t="s">
        <v>20</v>
      </c>
      <c r="D8" s="32">
        <v>0</v>
      </c>
      <c r="E8" s="32">
        <v>9090.9091000000008</v>
      </c>
    </row>
    <row r="11" spans="1:5" ht="15.75" thickBot="1" x14ac:dyDescent="0.3">
      <c r="A11" t="s">
        <v>61</v>
      </c>
    </row>
    <row r="12" spans="1:5" ht="15.75" thickBot="1" x14ac:dyDescent="0.3">
      <c r="B12" s="31" t="s">
        <v>15</v>
      </c>
      <c r="C12" s="31" t="s">
        <v>16</v>
      </c>
      <c r="D12" s="31" t="s">
        <v>17</v>
      </c>
      <c r="E12" s="31" t="s">
        <v>18</v>
      </c>
    </row>
    <row r="13" spans="1:5" x14ac:dyDescent="0.25">
      <c r="B13" s="3" t="s">
        <v>21</v>
      </c>
      <c r="C13" s="3" t="s">
        <v>22</v>
      </c>
      <c r="D13" s="3">
        <v>0</v>
      </c>
      <c r="E13" s="3">
        <v>1818.1818181818182</v>
      </c>
    </row>
    <row r="14" spans="1:5" ht="15.75" thickBot="1" x14ac:dyDescent="0.3">
      <c r="B14" s="2" t="s">
        <v>23</v>
      </c>
      <c r="C14" s="2" t="s">
        <v>24</v>
      </c>
      <c r="D14" s="2">
        <v>0</v>
      </c>
      <c r="E14" s="2">
        <v>1818.181818181818</v>
      </c>
    </row>
    <row r="17" spans="1:7" ht="15.75" thickBot="1" x14ac:dyDescent="0.3">
      <c r="A17" t="s">
        <v>14</v>
      </c>
    </row>
    <row r="18" spans="1:7" ht="15.75" thickBot="1" x14ac:dyDescent="0.3">
      <c r="B18" s="31" t="s">
        <v>15</v>
      </c>
      <c r="C18" s="31" t="s">
        <v>16</v>
      </c>
      <c r="D18" s="31" t="s">
        <v>25</v>
      </c>
      <c r="E18" s="31" t="s">
        <v>26</v>
      </c>
      <c r="F18" s="31" t="s">
        <v>27</v>
      </c>
      <c r="G18" s="31" t="s">
        <v>28</v>
      </c>
    </row>
    <row r="19" spans="1:7" x14ac:dyDescent="0.25">
      <c r="B19" s="3" t="s">
        <v>29</v>
      </c>
      <c r="C19" s="3" t="s">
        <v>30</v>
      </c>
      <c r="D19" s="3">
        <v>909.09090909090912</v>
      </c>
      <c r="E19" s="3" t="s">
        <v>31</v>
      </c>
      <c r="F19" s="3" t="s">
        <v>32</v>
      </c>
      <c r="G19" s="3">
        <v>90.909090909090878</v>
      </c>
    </row>
    <row r="20" spans="1:7" x14ac:dyDescent="0.25">
      <c r="B20" s="3" t="s">
        <v>33</v>
      </c>
      <c r="C20" s="3" t="s">
        <v>34</v>
      </c>
      <c r="D20" s="3">
        <v>1000</v>
      </c>
      <c r="E20" s="3" t="s">
        <v>35</v>
      </c>
      <c r="F20" s="3" t="s">
        <v>54</v>
      </c>
      <c r="G20" s="3">
        <v>0</v>
      </c>
    </row>
    <row r="21" spans="1:7" x14ac:dyDescent="0.25">
      <c r="B21" s="3" t="s">
        <v>36</v>
      </c>
      <c r="C21" s="3" t="s">
        <v>37</v>
      </c>
      <c r="D21" s="3">
        <v>1000</v>
      </c>
      <c r="E21" s="3" t="s">
        <v>38</v>
      </c>
      <c r="F21" s="3" t="s">
        <v>54</v>
      </c>
      <c r="G21" s="3">
        <v>0</v>
      </c>
    </row>
    <row r="22" spans="1:7" ht="15.75" thickBot="1" x14ac:dyDescent="0.3">
      <c r="B22" s="2" t="s">
        <v>39</v>
      </c>
      <c r="C22" s="2" t="s">
        <v>40</v>
      </c>
      <c r="D22" s="2">
        <v>727.27272727272725</v>
      </c>
      <c r="E22" s="2" t="s">
        <v>41</v>
      </c>
      <c r="F22" s="2" t="s">
        <v>32</v>
      </c>
      <c r="G22" s="2">
        <v>272.72727272727275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"/>
  <sheetViews>
    <sheetView showGridLines="0" workbookViewId="0">
      <selection sqref="A1:A3"/>
    </sheetView>
  </sheetViews>
  <sheetFormatPr defaultRowHeight="15" x14ac:dyDescent="0.25"/>
  <cols>
    <col min="1" max="1" width="2.28515625" customWidth="1"/>
    <col min="2" max="2" width="6.140625" bestFit="1" customWidth="1"/>
    <col min="3" max="3" width="14.85546875" bestFit="1" customWidth="1"/>
    <col min="4" max="5" width="12" bestFit="1" customWidth="1"/>
    <col min="6" max="6" width="10.85546875" bestFit="1" customWidth="1"/>
    <col min="7" max="8" width="12" bestFit="1" customWidth="1"/>
  </cols>
  <sheetData>
    <row r="1" spans="1:8" x14ac:dyDescent="0.25">
      <c r="A1" s="1" t="s">
        <v>62</v>
      </c>
    </row>
    <row r="2" spans="1:8" x14ac:dyDescent="0.25">
      <c r="A2" s="1" t="s">
        <v>76</v>
      </c>
    </row>
    <row r="3" spans="1:8" x14ac:dyDescent="0.25">
      <c r="A3" s="1" t="s">
        <v>77</v>
      </c>
    </row>
    <row r="6" spans="1:8" ht="15.75" thickBot="1" x14ac:dyDescent="0.3">
      <c r="A6" t="s">
        <v>61</v>
      </c>
    </row>
    <row r="7" spans="1:8" x14ac:dyDescent="0.25">
      <c r="B7" s="33"/>
      <c r="C7" s="33"/>
      <c r="D7" s="33" t="s">
        <v>42</v>
      </c>
      <c r="E7" s="33" t="s">
        <v>43</v>
      </c>
      <c r="F7" s="33" t="s">
        <v>13</v>
      </c>
      <c r="G7" s="33" t="s">
        <v>44</v>
      </c>
      <c r="H7" s="33" t="s">
        <v>44</v>
      </c>
    </row>
    <row r="8" spans="1:8" ht="15.75" thickBot="1" x14ac:dyDescent="0.3">
      <c r="B8" s="34" t="s">
        <v>15</v>
      </c>
      <c r="C8" s="34" t="s">
        <v>16</v>
      </c>
      <c r="D8" s="34" t="s">
        <v>45</v>
      </c>
      <c r="E8" s="34" t="s">
        <v>46</v>
      </c>
      <c r="F8" s="34" t="s">
        <v>47</v>
      </c>
      <c r="G8" s="34" t="s">
        <v>48</v>
      </c>
      <c r="H8" s="34" t="s">
        <v>49</v>
      </c>
    </row>
    <row r="9" spans="1:8" x14ac:dyDescent="0.25">
      <c r="B9" s="3" t="s">
        <v>21</v>
      </c>
      <c r="C9" s="3" t="s">
        <v>22</v>
      </c>
      <c r="D9" s="3">
        <v>1818.1818181818182</v>
      </c>
      <c r="E9" s="3">
        <v>0</v>
      </c>
      <c r="F9" s="3">
        <v>2</v>
      </c>
      <c r="G9" s="3">
        <v>1.6000000000000003</v>
      </c>
      <c r="H9" s="3">
        <v>0.2857142857142857</v>
      </c>
    </row>
    <row r="10" spans="1:8" ht="15.75" thickBot="1" x14ac:dyDescent="0.3">
      <c r="B10" s="2" t="s">
        <v>23</v>
      </c>
      <c r="C10" s="2" t="s">
        <v>24</v>
      </c>
      <c r="D10" s="2">
        <v>1818.181818181818</v>
      </c>
      <c r="E10" s="2">
        <v>0</v>
      </c>
      <c r="F10" s="2">
        <v>3</v>
      </c>
      <c r="G10" s="2">
        <v>0.5</v>
      </c>
      <c r="H10" s="2">
        <v>1.3333333333333335</v>
      </c>
    </row>
    <row r="12" spans="1:8" ht="15.75" thickBot="1" x14ac:dyDescent="0.3">
      <c r="A12" t="s">
        <v>14</v>
      </c>
    </row>
    <row r="13" spans="1:8" x14ac:dyDescent="0.25">
      <c r="B13" s="33"/>
      <c r="C13" s="33"/>
      <c r="D13" s="33" t="s">
        <v>42</v>
      </c>
      <c r="E13" s="33" t="s">
        <v>50</v>
      </c>
      <c r="F13" s="33" t="s">
        <v>51</v>
      </c>
      <c r="G13" s="33" t="s">
        <v>44</v>
      </c>
      <c r="H13" s="33" t="s">
        <v>44</v>
      </c>
    </row>
    <row r="14" spans="1:8" ht="15.75" thickBot="1" x14ac:dyDescent="0.3">
      <c r="B14" s="34" t="s">
        <v>15</v>
      </c>
      <c r="C14" s="34" t="s">
        <v>16</v>
      </c>
      <c r="D14" s="34" t="s">
        <v>45</v>
      </c>
      <c r="E14" s="34" t="s">
        <v>52</v>
      </c>
      <c r="F14" s="34" t="s">
        <v>53</v>
      </c>
      <c r="G14" s="34" t="s">
        <v>48</v>
      </c>
      <c r="H14" s="34" t="s">
        <v>49</v>
      </c>
    </row>
    <row r="15" spans="1:8" x14ac:dyDescent="0.25">
      <c r="B15" s="3" t="s">
        <v>29</v>
      </c>
      <c r="C15" s="3" t="s">
        <v>30</v>
      </c>
      <c r="D15" s="3">
        <v>909.09090909090912</v>
      </c>
      <c r="E15" s="3">
        <v>0</v>
      </c>
      <c r="F15" s="3">
        <v>1000</v>
      </c>
      <c r="G15" s="3">
        <v>1E+30</v>
      </c>
      <c r="H15" s="3">
        <v>90.909090909090878</v>
      </c>
    </row>
    <row r="16" spans="1:8" x14ac:dyDescent="0.25">
      <c r="B16" s="3" t="s">
        <v>33</v>
      </c>
      <c r="C16" s="3" t="s">
        <v>34</v>
      </c>
      <c r="D16" s="3">
        <v>1000</v>
      </c>
      <c r="E16" s="3">
        <v>1.8181818181818183</v>
      </c>
      <c r="F16" s="3">
        <v>1000</v>
      </c>
      <c r="G16" s="3">
        <v>28.571428571428559</v>
      </c>
      <c r="H16" s="3">
        <v>187.5</v>
      </c>
    </row>
    <row r="17" spans="2:8" x14ac:dyDescent="0.25">
      <c r="B17" s="3" t="s">
        <v>36</v>
      </c>
      <c r="C17" s="3" t="s">
        <v>37</v>
      </c>
      <c r="D17" s="3">
        <v>1000</v>
      </c>
      <c r="E17" s="3">
        <v>7.2727272727272734</v>
      </c>
      <c r="F17" s="3">
        <v>1000</v>
      </c>
      <c r="G17" s="3">
        <v>125.00000000000001</v>
      </c>
      <c r="H17" s="3">
        <v>39.999999999999993</v>
      </c>
    </row>
    <row r="18" spans="2:8" ht="15.75" thickBot="1" x14ac:dyDescent="0.3">
      <c r="B18" s="2" t="s">
        <v>39</v>
      </c>
      <c r="C18" s="2" t="s">
        <v>40</v>
      </c>
      <c r="D18" s="2">
        <v>727.27272727272725</v>
      </c>
      <c r="E18" s="2">
        <v>0</v>
      </c>
      <c r="F18" s="2">
        <v>1000</v>
      </c>
      <c r="G18" s="2">
        <v>1E+30</v>
      </c>
      <c r="H18" s="2">
        <v>272.72727272727275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1"/>
  <sheetViews>
    <sheetView workbookViewId="0"/>
  </sheetViews>
  <sheetFormatPr defaultRowHeight="15" x14ac:dyDescent="0.25"/>
  <cols>
    <col min="2" max="9" width="4.7109375" style="4" customWidth="1"/>
  </cols>
  <sheetData>
    <row r="1" spans="1:9" x14ac:dyDescent="0.25">
      <c r="A1" s="27" t="s">
        <v>55</v>
      </c>
      <c r="B1" s="23" t="s">
        <v>63</v>
      </c>
      <c r="C1" s="5" t="s">
        <v>64</v>
      </c>
      <c r="D1" s="5" t="s">
        <v>65</v>
      </c>
      <c r="E1" s="6" t="s">
        <v>66</v>
      </c>
      <c r="F1" s="23" t="s">
        <v>63</v>
      </c>
      <c r="G1" s="5" t="s">
        <v>64</v>
      </c>
      <c r="H1" s="5" t="s">
        <v>65</v>
      </c>
      <c r="I1" s="6" t="s">
        <v>66</v>
      </c>
    </row>
    <row r="2" spans="1:9" x14ac:dyDescent="0.25">
      <c r="A2" s="28">
        <v>1</v>
      </c>
      <c r="B2" s="24">
        <f ca="1">RANDBETWEEN(5,20)</f>
        <v>12</v>
      </c>
      <c r="C2" s="4">
        <f t="shared" ref="C2:E17" ca="1" si="0">RANDBETWEEN(5,20)</f>
        <v>8</v>
      </c>
      <c r="D2" s="4">
        <f t="shared" ca="1" si="0"/>
        <v>20</v>
      </c>
      <c r="E2" s="29">
        <f t="shared" ca="1" si="0"/>
        <v>14</v>
      </c>
      <c r="F2" s="24">
        <v>15</v>
      </c>
      <c r="G2" s="4">
        <v>18</v>
      </c>
      <c r="H2" s="4">
        <v>18</v>
      </c>
      <c r="I2" s="29">
        <v>16</v>
      </c>
    </row>
    <row r="3" spans="1:9" x14ac:dyDescent="0.25">
      <c r="A3" s="28">
        <v>2</v>
      </c>
      <c r="B3" s="24">
        <f t="shared" ref="B3:E18" ca="1" si="1">RANDBETWEEN(5,20)</f>
        <v>12</v>
      </c>
      <c r="C3" s="4">
        <f t="shared" ca="1" si="0"/>
        <v>12</v>
      </c>
      <c r="D3" s="4">
        <f t="shared" ca="1" si="0"/>
        <v>15</v>
      </c>
      <c r="E3" s="29">
        <f t="shared" ca="1" si="0"/>
        <v>8</v>
      </c>
      <c r="F3" s="24">
        <v>20</v>
      </c>
      <c r="G3" s="4">
        <v>13</v>
      </c>
      <c r="H3" s="4">
        <v>12</v>
      </c>
      <c r="I3" s="29">
        <v>16</v>
      </c>
    </row>
    <row r="4" spans="1:9" x14ac:dyDescent="0.25">
      <c r="A4" s="28">
        <v>3</v>
      </c>
      <c r="B4" s="24">
        <f t="shared" ca="1" si="1"/>
        <v>5</v>
      </c>
      <c r="C4" s="4">
        <f t="shared" ca="1" si="0"/>
        <v>16</v>
      </c>
      <c r="D4" s="4">
        <f t="shared" ca="1" si="0"/>
        <v>12</v>
      </c>
      <c r="E4" s="29">
        <f t="shared" ca="1" si="0"/>
        <v>13</v>
      </c>
      <c r="F4" s="24">
        <v>16</v>
      </c>
      <c r="G4" s="4">
        <v>14</v>
      </c>
      <c r="H4" s="4">
        <v>17</v>
      </c>
      <c r="I4" s="29">
        <v>11</v>
      </c>
    </row>
    <row r="5" spans="1:9" x14ac:dyDescent="0.25">
      <c r="A5" s="28">
        <v>4</v>
      </c>
      <c r="B5" s="24">
        <f t="shared" ca="1" si="1"/>
        <v>7</v>
      </c>
      <c r="C5" s="4">
        <f t="shared" ca="1" si="0"/>
        <v>8</v>
      </c>
      <c r="D5" s="4">
        <f t="shared" ca="1" si="0"/>
        <v>9</v>
      </c>
      <c r="E5" s="29">
        <f t="shared" ca="1" si="0"/>
        <v>19</v>
      </c>
      <c r="F5" s="24">
        <v>13</v>
      </c>
      <c r="G5" s="4">
        <v>19</v>
      </c>
      <c r="H5" s="4">
        <v>12</v>
      </c>
      <c r="I5" s="29">
        <v>7</v>
      </c>
    </row>
    <row r="6" spans="1:9" x14ac:dyDescent="0.25">
      <c r="A6" s="28">
        <v>5</v>
      </c>
      <c r="B6" s="24">
        <f t="shared" ca="1" si="1"/>
        <v>13</v>
      </c>
      <c r="C6" s="4">
        <f t="shared" ca="1" si="0"/>
        <v>7</v>
      </c>
      <c r="D6" s="4">
        <f t="shared" ca="1" si="0"/>
        <v>5</v>
      </c>
      <c r="E6" s="29">
        <f t="shared" ca="1" si="0"/>
        <v>7</v>
      </c>
      <c r="F6" s="24">
        <v>13</v>
      </c>
      <c r="G6" s="4">
        <v>6</v>
      </c>
      <c r="H6" s="4">
        <v>12</v>
      </c>
      <c r="I6" s="29">
        <v>8</v>
      </c>
    </row>
    <row r="7" spans="1:9" x14ac:dyDescent="0.25">
      <c r="A7" s="28">
        <v>6</v>
      </c>
      <c r="B7" s="24">
        <f t="shared" ca="1" si="1"/>
        <v>14</v>
      </c>
      <c r="C7" s="4">
        <f t="shared" ca="1" si="0"/>
        <v>5</v>
      </c>
      <c r="D7" s="4">
        <f t="shared" ca="1" si="0"/>
        <v>18</v>
      </c>
      <c r="E7" s="29">
        <f t="shared" ca="1" si="0"/>
        <v>5</v>
      </c>
      <c r="F7" s="24">
        <v>10</v>
      </c>
      <c r="G7" s="4">
        <v>16</v>
      </c>
      <c r="H7" s="4">
        <v>7</v>
      </c>
      <c r="I7" s="29">
        <v>18</v>
      </c>
    </row>
    <row r="8" spans="1:9" x14ac:dyDescent="0.25">
      <c r="A8" s="28">
        <v>7</v>
      </c>
      <c r="B8" s="24">
        <f t="shared" ca="1" si="1"/>
        <v>10</v>
      </c>
      <c r="C8" s="4">
        <f t="shared" ca="1" si="0"/>
        <v>17</v>
      </c>
      <c r="D8" s="4">
        <f t="shared" ca="1" si="0"/>
        <v>15</v>
      </c>
      <c r="E8" s="29">
        <f t="shared" ca="1" si="0"/>
        <v>13</v>
      </c>
      <c r="F8" s="24">
        <v>8</v>
      </c>
      <c r="G8" s="4">
        <v>9</v>
      </c>
      <c r="H8" s="4">
        <v>5</v>
      </c>
      <c r="I8" s="29">
        <v>19</v>
      </c>
    </row>
    <row r="9" spans="1:9" x14ac:dyDescent="0.25">
      <c r="A9" s="28">
        <v>8</v>
      </c>
      <c r="B9" s="24">
        <f t="shared" ca="1" si="1"/>
        <v>6</v>
      </c>
      <c r="C9" s="4">
        <f t="shared" ca="1" si="0"/>
        <v>18</v>
      </c>
      <c r="D9" s="4">
        <f t="shared" ca="1" si="0"/>
        <v>6</v>
      </c>
      <c r="E9" s="29">
        <f t="shared" ca="1" si="0"/>
        <v>9</v>
      </c>
      <c r="F9" s="24">
        <v>6</v>
      </c>
      <c r="G9" s="4">
        <v>16</v>
      </c>
      <c r="H9" s="4">
        <v>11</v>
      </c>
      <c r="I9" s="29">
        <v>5</v>
      </c>
    </row>
    <row r="10" spans="1:9" x14ac:dyDescent="0.25">
      <c r="A10" s="28">
        <v>9</v>
      </c>
      <c r="B10" s="24">
        <f t="shared" ca="1" si="1"/>
        <v>12</v>
      </c>
      <c r="C10" s="4">
        <f t="shared" ca="1" si="0"/>
        <v>13</v>
      </c>
      <c r="D10" s="4">
        <f t="shared" ca="1" si="0"/>
        <v>16</v>
      </c>
      <c r="E10" s="29">
        <f t="shared" ca="1" si="0"/>
        <v>9</v>
      </c>
      <c r="F10" s="24">
        <v>18</v>
      </c>
      <c r="G10" s="4">
        <v>15</v>
      </c>
      <c r="H10" s="4">
        <v>20</v>
      </c>
      <c r="I10" s="29">
        <v>6</v>
      </c>
    </row>
    <row r="11" spans="1:9" x14ac:dyDescent="0.25">
      <c r="A11" s="28">
        <v>10</v>
      </c>
      <c r="B11" s="24">
        <f t="shared" ca="1" si="1"/>
        <v>5</v>
      </c>
      <c r="C11" s="4">
        <f t="shared" ca="1" si="0"/>
        <v>9</v>
      </c>
      <c r="D11" s="4">
        <f t="shared" ca="1" si="0"/>
        <v>17</v>
      </c>
      <c r="E11" s="29">
        <f t="shared" ca="1" si="0"/>
        <v>14</v>
      </c>
      <c r="F11" s="24">
        <v>7</v>
      </c>
      <c r="G11" s="4">
        <v>18</v>
      </c>
      <c r="H11" s="4">
        <v>5</v>
      </c>
      <c r="I11" s="29">
        <v>19</v>
      </c>
    </row>
    <row r="12" spans="1:9" x14ac:dyDescent="0.25">
      <c r="A12" s="28">
        <v>11</v>
      </c>
      <c r="B12" s="24">
        <f t="shared" ca="1" si="1"/>
        <v>14</v>
      </c>
      <c r="C12" s="4">
        <f t="shared" ca="1" si="0"/>
        <v>5</v>
      </c>
      <c r="D12" s="4">
        <f t="shared" ca="1" si="0"/>
        <v>15</v>
      </c>
      <c r="E12" s="29">
        <f t="shared" ca="1" si="0"/>
        <v>10</v>
      </c>
      <c r="F12" s="24">
        <v>20</v>
      </c>
      <c r="G12" s="4">
        <v>19</v>
      </c>
      <c r="H12" s="4">
        <v>17</v>
      </c>
      <c r="I12" s="29">
        <v>8</v>
      </c>
    </row>
    <row r="13" spans="1:9" x14ac:dyDescent="0.25">
      <c r="A13" s="28">
        <v>12</v>
      </c>
      <c r="B13" s="24">
        <f t="shared" ca="1" si="1"/>
        <v>12</v>
      </c>
      <c r="C13" s="4">
        <f t="shared" ca="1" si="0"/>
        <v>11</v>
      </c>
      <c r="D13" s="4">
        <f t="shared" ca="1" si="0"/>
        <v>15</v>
      </c>
      <c r="E13" s="29">
        <f t="shared" ca="1" si="0"/>
        <v>8</v>
      </c>
      <c r="F13" s="24">
        <v>6</v>
      </c>
      <c r="G13" s="4">
        <v>13</v>
      </c>
      <c r="H13" s="4">
        <v>18</v>
      </c>
      <c r="I13" s="29">
        <v>8</v>
      </c>
    </row>
    <row r="14" spans="1:9" x14ac:dyDescent="0.25">
      <c r="A14" s="28">
        <v>13</v>
      </c>
      <c r="B14" s="24">
        <f t="shared" ca="1" si="1"/>
        <v>16</v>
      </c>
      <c r="C14" s="4">
        <f t="shared" ca="1" si="0"/>
        <v>9</v>
      </c>
      <c r="D14" s="4">
        <f t="shared" ca="1" si="0"/>
        <v>8</v>
      </c>
      <c r="E14" s="29">
        <f t="shared" ca="1" si="0"/>
        <v>16</v>
      </c>
      <c r="F14" s="24">
        <v>16</v>
      </c>
      <c r="G14" s="4">
        <v>7</v>
      </c>
      <c r="H14" s="4">
        <v>9</v>
      </c>
      <c r="I14" s="29">
        <v>18</v>
      </c>
    </row>
    <row r="15" spans="1:9" x14ac:dyDescent="0.25">
      <c r="A15" s="28">
        <v>14</v>
      </c>
      <c r="B15" s="24">
        <f t="shared" ca="1" si="1"/>
        <v>10</v>
      </c>
      <c r="C15" s="4">
        <f t="shared" ca="1" si="0"/>
        <v>10</v>
      </c>
      <c r="D15" s="4">
        <f t="shared" ca="1" si="0"/>
        <v>5</v>
      </c>
      <c r="E15" s="29">
        <f t="shared" ca="1" si="0"/>
        <v>14</v>
      </c>
      <c r="F15" s="24">
        <v>9</v>
      </c>
      <c r="G15" s="4">
        <v>20</v>
      </c>
      <c r="H15" s="4">
        <v>8</v>
      </c>
      <c r="I15" s="29">
        <v>14</v>
      </c>
    </row>
    <row r="16" spans="1:9" x14ac:dyDescent="0.25">
      <c r="A16" s="28">
        <v>15</v>
      </c>
      <c r="B16" s="24">
        <f t="shared" ca="1" si="1"/>
        <v>5</v>
      </c>
      <c r="C16" s="4">
        <f t="shared" ca="1" si="0"/>
        <v>8</v>
      </c>
      <c r="D16" s="4">
        <f t="shared" ca="1" si="0"/>
        <v>13</v>
      </c>
      <c r="E16" s="29">
        <f t="shared" ca="1" si="0"/>
        <v>19</v>
      </c>
      <c r="F16" s="24">
        <v>7</v>
      </c>
      <c r="G16" s="4">
        <v>15</v>
      </c>
      <c r="H16" s="4">
        <v>7</v>
      </c>
      <c r="I16" s="29">
        <v>12</v>
      </c>
    </row>
    <row r="17" spans="1:9" x14ac:dyDescent="0.25">
      <c r="A17" s="28">
        <v>16</v>
      </c>
      <c r="B17" s="24">
        <f t="shared" ca="1" si="1"/>
        <v>11</v>
      </c>
      <c r="C17" s="4">
        <f t="shared" ca="1" si="0"/>
        <v>9</v>
      </c>
      <c r="D17" s="4">
        <f t="shared" ca="1" si="0"/>
        <v>14</v>
      </c>
      <c r="E17" s="29">
        <f t="shared" ca="1" si="0"/>
        <v>18</v>
      </c>
      <c r="F17" s="24">
        <v>11</v>
      </c>
      <c r="G17" s="4">
        <v>15</v>
      </c>
      <c r="H17" s="4">
        <v>12</v>
      </c>
      <c r="I17" s="29">
        <v>11</v>
      </c>
    </row>
    <row r="18" spans="1:9" x14ac:dyDescent="0.25">
      <c r="A18" s="28">
        <v>17</v>
      </c>
      <c r="B18" s="24">
        <f t="shared" ca="1" si="1"/>
        <v>16</v>
      </c>
      <c r="C18" s="4">
        <f t="shared" ca="1" si="1"/>
        <v>20</v>
      </c>
      <c r="D18" s="4">
        <f t="shared" ca="1" si="1"/>
        <v>8</v>
      </c>
      <c r="E18" s="29">
        <f t="shared" ca="1" si="1"/>
        <v>17</v>
      </c>
      <c r="F18" s="24">
        <v>12</v>
      </c>
      <c r="G18" s="4">
        <v>16</v>
      </c>
      <c r="H18" s="4">
        <v>5</v>
      </c>
      <c r="I18" s="29">
        <v>20</v>
      </c>
    </row>
    <row r="19" spans="1:9" x14ac:dyDescent="0.25">
      <c r="A19" s="28">
        <v>18</v>
      </c>
      <c r="B19" s="24">
        <f t="shared" ref="B19:E21" ca="1" si="2">RANDBETWEEN(5,20)</f>
        <v>12</v>
      </c>
      <c r="C19" s="4">
        <f t="shared" ca="1" si="2"/>
        <v>12</v>
      </c>
      <c r="D19" s="4">
        <f t="shared" ca="1" si="2"/>
        <v>20</v>
      </c>
      <c r="E19" s="29">
        <f t="shared" ca="1" si="2"/>
        <v>11</v>
      </c>
      <c r="F19" s="24">
        <v>19</v>
      </c>
      <c r="G19" s="4">
        <v>11</v>
      </c>
      <c r="H19" s="4">
        <v>7</v>
      </c>
      <c r="I19" s="29">
        <v>7</v>
      </c>
    </row>
    <row r="20" spans="1:9" x14ac:dyDescent="0.25">
      <c r="A20" s="28">
        <v>19</v>
      </c>
      <c r="B20" s="24">
        <f t="shared" ca="1" si="2"/>
        <v>15</v>
      </c>
      <c r="C20" s="4">
        <f t="shared" ca="1" si="2"/>
        <v>8</v>
      </c>
      <c r="D20" s="4">
        <f t="shared" ca="1" si="2"/>
        <v>15</v>
      </c>
      <c r="E20" s="29">
        <f t="shared" ca="1" si="2"/>
        <v>15</v>
      </c>
      <c r="F20" s="24">
        <v>5</v>
      </c>
      <c r="G20" s="4">
        <v>6</v>
      </c>
      <c r="H20" s="4">
        <v>11</v>
      </c>
      <c r="I20" s="29">
        <v>8</v>
      </c>
    </row>
    <row r="21" spans="1:9" x14ac:dyDescent="0.25">
      <c r="A21" s="35">
        <v>20</v>
      </c>
      <c r="B21" s="7">
        <f t="shared" ca="1" si="2"/>
        <v>9</v>
      </c>
      <c r="C21" s="8">
        <f t="shared" ca="1" si="2"/>
        <v>20</v>
      </c>
      <c r="D21" s="8">
        <f t="shared" ca="1" si="2"/>
        <v>12</v>
      </c>
      <c r="E21" s="30">
        <f t="shared" ca="1" si="2"/>
        <v>18</v>
      </c>
      <c r="F21" s="7">
        <v>20</v>
      </c>
      <c r="G21" s="8">
        <v>14</v>
      </c>
      <c r="H21" s="8">
        <v>15</v>
      </c>
      <c r="I21" s="30">
        <v>13</v>
      </c>
    </row>
  </sheetData>
  <pageMargins left="0.7" right="0.7" top="0.75" bottom="0.75" header="0.3" footer="0.3"/>
  <pageSetup scale="17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16285.714285714286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16285.714285714286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1500</v>
      </c>
      <c r="E5" t="s">
        <v>9</v>
      </c>
      <c r="F5">
        <f>G5-J31+V31</f>
        <v>1500</v>
      </c>
      <c r="G5" s="26">
        <f>'Random CNDQ'!F2*100</f>
        <v>1500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1757.1428571428571</v>
      </c>
      <c r="E6" t="s">
        <v>9</v>
      </c>
      <c r="F6">
        <f>G6-K31+W31</f>
        <v>1800</v>
      </c>
      <c r="G6" s="26">
        <f>'Random CNDQ'!G2*100</f>
        <v>1800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1799.9999999999998</v>
      </c>
      <c r="E7" t="s">
        <v>9</v>
      </c>
      <c r="F7">
        <f>G7-L31+X31</f>
        <v>1800</v>
      </c>
      <c r="G7" s="26">
        <f>'Random CNDQ'!H2*100</f>
        <v>1800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16285.714285714286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1371.4285714285716</v>
      </c>
      <c r="E8" s="9" t="s">
        <v>9</v>
      </c>
      <c r="F8" s="9">
        <f>G8-M31+Y31</f>
        <v>1600</v>
      </c>
      <c r="G8" s="10">
        <f>'Random CNDQ'!I2*100</f>
        <v>1600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3000</v>
      </c>
      <c r="C11" s="26">
        <v>3428.5714285714284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60</v>
      </c>
      <c r="C13" s="10">
        <f>C11/C12</f>
        <v>171.42857142857142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" si="4">SUM(W6:W30)</f>
        <v>0</v>
      </c>
      <c r="X31" s="12">
        <f t="shared" ref="X31" si="5">SUM(X6:X30)</f>
        <v>0</v>
      </c>
      <c r="Y31" s="12">
        <f t="shared" ref="Y31" si="6">SUM(Y6:Y30)</f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11090.909090909088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11090.909090909088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1409.0909090909088</v>
      </c>
      <c r="E5" t="s">
        <v>9</v>
      </c>
      <c r="F5">
        <f>G5-J31+V31</f>
        <v>2000</v>
      </c>
      <c r="G5" s="26">
        <f>'Random CNDQ'!F3*100</f>
        <v>2000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1299.9999999999998</v>
      </c>
      <c r="E6" t="s">
        <v>9</v>
      </c>
      <c r="F6">
        <f>G6-K31+W31</f>
        <v>1300</v>
      </c>
      <c r="G6" s="26">
        <f>'Random CNDQ'!G3*100</f>
        <v>1300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1199.9999999999998</v>
      </c>
      <c r="E7" t="s">
        <v>9</v>
      </c>
      <c r="F7">
        <f>G7-L31+X31</f>
        <v>1200</v>
      </c>
      <c r="G7" s="26">
        <f>'Random CNDQ'!H3*100</f>
        <v>1200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11090.909090909088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727.27272727272725</v>
      </c>
      <c r="E8" s="9" t="s">
        <v>9</v>
      </c>
      <c r="F8" s="9">
        <f>G8-M31+Y31</f>
        <v>1600</v>
      </c>
      <c r="G8" s="10">
        <f>'Random CNDQ'!I3*100</f>
        <v>1600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2818.1818181818176</v>
      </c>
      <c r="C11" s="26">
        <v>1818.181818181818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56.363636363636353</v>
      </c>
      <c r="C13" s="10">
        <f>C11/C12</f>
        <v>90.909090909090907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13000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13000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1187.4999999999998</v>
      </c>
      <c r="E5" t="s">
        <v>9</v>
      </c>
      <c r="F5">
        <f>G5-J31+V31</f>
        <v>1600</v>
      </c>
      <c r="G5" s="26">
        <f>'Random CNDQ'!F4*100</f>
        <v>1600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1400</v>
      </c>
      <c r="E6" t="s">
        <v>9</v>
      </c>
      <c r="F6">
        <f>G6-K31+W31</f>
        <v>1400</v>
      </c>
      <c r="G6" s="26">
        <f>'Random CNDQ'!G4*100</f>
        <v>1400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1437.4999999999998</v>
      </c>
      <c r="E7" t="s">
        <v>9</v>
      </c>
      <c r="F7">
        <f>G7-L31+X31</f>
        <v>1700</v>
      </c>
      <c r="G7" s="26">
        <f>'Random CNDQ'!H4*100</f>
        <v>1700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13000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1100</v>
      </c>
      <c r="E8" s="9" t="s">
        <v>9</v>
      </c>
      <c r="F8" s="9">
        <f>G8-M31+Y31</f>
        <v>1100</v>
      </c>
      <c r="G8" s="10">
        <f>'Random CNDQ'!I4*100</f>
        <v>1100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2374.9999999999995</v>
      </c>
      <c r="C11" s="26">
        <v>2750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47.499999999999993</v>
      </c>
      <c r="C13" s="10">
        <f>C11/C12</f>
        <v>137.5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10450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10450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1300</v>
      </c>
      <c r="E5" t="s">
        <v>9</v>
      </c>
      <c r="F5">
        <f>G5-J31+V31</f>
        <v>1300</v>
      </c>
      <c r="G5" s="26">
        <f>'Random CNDQ'!F5*100</f>
        <v>1300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1217.5</v>
      </c>
      <c r="E6" t="s">
        <v>9</v>
      </c>
      <c r="F6">
        <f>G6-K31+W31</f>
        <v>1900</v>
      </c>
      <c r="G6" s="26">
        <f>'Random CNDQ'!G5*100</f>
        <v>1900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1132.5</v>
      </c>
      <c r="E7" t="s">
        <v>9</v>
      </c>
      <c r="F7">
        <f>G7-L31+X31</f>
        <v>1200</v>
      </c>
      <c r="G7" s="26">
        <f>'Random CNDQ'!H5*100</f>
        <v>1200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10450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700</v>
      </c>
      <c r="E8" s="9" t="s">
        <v>9</v>
      </c>
      <c r="F8" s="9">
        <f>G8-M31+Y31</f>
        <v>700</v>
      </c>
      <c r="G8" s="10">
        <f>'Random CNDQ'!I5*100</f>
        <v>700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2600</v>
      </c>
      <c r="C11" s="26">
        <v>1750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52</v>
      </c>
      <c r="C13" s="10">
        <f>C11/C12</f>
        <v>87.5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6666.666666666667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6666.666666666667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166.66666666666669</v>
      </c>
      <c r="E5" t="s">
        <v>9</v>
      </c>
      <c r="F5">
        <f>G5-J31+V31</f>
        <v>1300</v>
      </c>
      <c r="G5" s="26">
        <f>'Random CNDQ'!F6*100</f>
        <v>1300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600</v>
      </c>
      <c r="E6" t="s">
        <v>9</v>
      </c>
      <c r="F6">
        <f>G6-K31+W31</f>
        <v>600</v>
      </c>
      <c r="G6" s="26">
        <f>'Random CNDQ'!G6*100</f>
        <v>600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766.66666666666663</v>
      </c>
      <c r="E7" t="s">
        <v>9</v>
      </c>
      <c r="F7">
        <f>G7-L31+X31</f>
        <v>1200</v>
      </c>
      <c r="G7" s="26">
        <f>'Random CNDQ'!H6*100</f>
        <v>1200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6666.666666666667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800</v>
      </c>
      <c r="E8" s="9" t="s">
        <v>9</v>
      </c>
      <c r="F8" s="9">
        <f>G8-M31+Y31</f>
        <v>800</v>
      </c>
      <c r="G8" s="10">
        <f>'Random CNDQ'!I6*100</f>
        <v>800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333.33333333333337</v>
      </c>
      <c r="C11" s="26">
        <v>2000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6.6666666666666679</v>
      </c>
      <c r="C13" s="10">
        <f>C11/C12</f>
        <v>100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6571.4285714285716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6571.4285714285716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1000</v>
      </c>
      <c r="E5" t="s">
        <v>9</v>
      </c>
      <c r="F5">
        <f>G5-J31+V31</f>
        <v>1000</v>
      </c>
      <c r="G5" s="26">
        <f>'Random CNDQ'!F7*100</f>
        <v>1000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814.28571428571422</v>
      </c>
      <c r="E6" t="s">
        <v>9</v>
      </c>
      <c r="F6">
        <f>G6-K31+W31</f>
        <v>1600</v>
      </c>
      <c r="G6" s="26">
        <f>'Random CNDQ'!G7*100</f>
        <v>1600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700</v>
      </c>
      <c r="E7" t="s">
        <v>9</v>
      </c>
      <c r="F7">
        <f>G7-L31+X31</f>
        <v>700</v>
      </c>
      <c r="G7" s="26">
        <f>'Random CNDQ'!H7*100</f>
        <v>700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6571.4285714285716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342.85714285714289</v>
      </c>
      <c r="E8" s="9" t="s">
        <v>9</v>
      </c>
      <c r="F8" s="9">
        <f>G8-M31+Y31</f>
        <v>1800</v>
      </c>
      <c r="G8" s="10">
        <f>'Random CNDQ'!I7*100</f>
        <v>1800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2000</v>
      </c>
      <c r="C11" s="26">
        <v>857.14285714285711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40</v>
      </c>
      <c r="C13" s="10">
        <f>C11/C12</f>
        <v>42.857142857142854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4742.8571428571422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4742.8571428571422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800</v>
      </c>
      <c r="E5" t="s">
        <v>9</v>
      </c>
      <c r="F5">
        <f>G5-J31+V31</f>
        <v>800</v>
      </c>
      <c r="G5" s="26">
        <f>'Random CNDQ'!F8*100</f>
        <v>800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608.57142857142856</v>
      </c>
      <c r="E6" t="s">
        <v>9</v>
      </c>
      <c r="F6">
        <f>G6-K31+W31</f>
        <v>900</v>
      </c>
      <c r="G6" s="26">
        <f>'Random CNDQ'!G8*100</f>
        <v>900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499.99999999999989</v>
      </c>
      <c r="E7" t="s">
        <v>9</v>
      </c>
      <c r="F7">
        <f>G7-L31+X31</f>
        <v>500</v>
      </c>
      <c r="G7" s="26">
        <f>'Random CNDQ'!H8*100</f>
        <v>500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4742.8571428571422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205.71428571428567</v>
      </c>
      <c r="E8" s="9" t="s">
        <v>9</v>
      </c>
      <c r="F8" s="9">
        <f>G8-M31+Y31</f>
        <v>1900</v>
      </c>
      <c r="G8" s="10">
        <f>'Random CNDQ'!I8*100</f>
        <v>1900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1600</v>
      </c>
      <c r="C11" s="26">
        <v>514.28571428571411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32</v>
      </c>
      <c r="C13" s="10">
        <f>C11/C12</f>
        <v>25.714285714285705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6150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6150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600</v>
      </c>
      <c r="E5" t="s">
        <v>9</v>
      </c>
      <c r="F5">
        <f>G5-J31+V31</f>
        <v>600</v>
      </c>
      <c r="G5" s="26">
        <f>'Random CNDQ'!F9*100</f>
        <v>600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672.5</v>
      </c>
      <c r="E6" t="s">
        <v>9</v>
      </c>
      <c r="F6">
        <f>G6-K31+W31</f>
        <v>1600</v>
      </c>
      <c r="G6" s="26">
        <f>'Random CNDQ'!G9*100</f>
        <v>1600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677.5</v>
      </c>
      <c r="E7" t="s">
        <v>9</v>
      </c>
      <c r="F7">
        <f>G7-L31+X31</f>
        <v>1100</v>
      </c>
      <c r="G7" s="26">
        <f>'Random CNDQ'!H9*100</f>
        <v>1100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6150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500</v>
      </c>
      <c r="E8" s="9" t="s">
        <v>9</v>
      </c>
      <c r="F8" s="9">
        <f>G8-M31+Y31</f>
        <v>500</v>
      </c>
      <c r="G8" s="10">
        <f>'Random CNDQ'!I9*100</f>
        <v>500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1200</v>
      </c>
      <c r="C11" s="26">
        <v>1250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24</v>
      </c>
      <c r="C13" s="10">
        <f>C11/C12</f>
        <v>62.5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11700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11700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1800</v>
      </c>
      <c r="E5" t="s">
        <v>9</v>
      </c>
      <c r="F5">
        <f>G5-J31+V31</f>
        <v>1800</v>
      </c>
      <c r="G5" s="26">
        <f>'Random CNDQ'!F10*100</f>
        <v>1800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1455</v>
      </c>
      <c r="E6" t="s">
        <v>9</v>
      </c>
      <c r="F6">
        <f>G6-K31+W31</f>
        <v>1500</v>
      </c>
      <c r="G6" s="26">
        <f>'Random CNDQ'!G10*100</f>
        <v>1500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1245</v>
      </c>
      <c r="E7" t="s">
        <v>9</v>
      </c>
      <c r="F7">
        <f>G7-L31+X31</f>
        <v>2000</v>
      </c>
      <c r="G7" s="26">
        <f>'Random CNDQ'!H10*100</f>
        <v>2000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11700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600</v>
      </c>
      <c r="E8" s="9" t="s">
        <v>9</v>
      </c>
      <c r="F8" s="9">
        <f>G8-M31+Y31</f>
        <v>600</v>
      </c>
      <c r="G8" s="10">
        <f>'Random CNDQ'!I10*100</f>
        <v>600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3600</v>
      </c>
      <c r="C11" s="26">
        <v>1500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72</v>
      </c>
      <c r="C13" s="10">
        <f>C11/C12</f>
        <v>75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4685.7142857142862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4685.7142857142862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700</v>
      </c>
      <c r="E5" t="s">
        <v>9</v>
      </c>
      <c r="F5">
        <f>G5-J31+V31</f>
        <v>700</v>
      </c>
      <c r="G5" s="26">
        <f>'Random CNDQ'!F11*100</f>
        <v>700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577.14285714285711</v>
      </c>
      <c r="E6" t="s">
        <v>9</v>
      </c>
      <c r="F6">
        <f>G6-K31+W31</f>
        <v>1800</v>
      </c>
      <c r="G6" s="26">
        <f>'Random CNDQ'!G11*100</f>
        <v>1800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500</v>
      </c>
      <c r="E7" t="s">
        <v>9</v>
      </c>
      <c r="F7">
        <f>G7-L31+X31</f>
        <v>500</v>
      </c>
      <c r="G7" s="26">
        <f>'Random CNDQ'!H11*100</f>
        <v>500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4685.7142857142862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251.42857142857144</v>
      </c>
      <c r="E8" s="9" t="s">
        <v>9</v>
      </c>
      <c r="F8" s="9">
        <f>G8-M31+Y31</f>
        <v>1900</v>
      </c>
      <c r="G8" s="10">
        <f>'Random CNDQ'!I11*100</f>
        <v>1900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1400</v>
      </c>
      <c r="C11" s="26">
        <v>628.57142857142856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28</v>
      </c>
      <c r="C13" s="10">
        <f>C11/C12</f>
        <v>31.428571428571427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14000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14000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2000</v>
      </c>
      <c r="E5" t="s">
        <v>9</v>
      </c>
      <c r="F5">
        <f>G5-J31+V31</f>
        <v>2000</v>
      </c>
      <c r="G5" s="26">
        <f>'Random CNDQ'!F12*100</f>
        <v>2000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1700</v>
      </c>
      <c r="E6" t="s">
        <v>9</v>
      </c>
      <c r="F6">
        <f>G6-K31+W31</f>
        <v>1900</v>
      </c>
      <c r="G6" s="26">
        <f>'Random CNDQ'!G12*100</f>
        <v>1900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1500</v>
      </c>
      <c r="E7" t="s">
        <v>9</v>
      </c>
      <c r="F7">
        <f>G7-L31+X31</f>
        <v>1700</v>
      </c>
      <c r="G7" s="26">
        <f>'Random CNDQ'!H12*100</f>
        <v>1700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14000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800</v>
      </c>
      <c r="E8" s="9" t="s">
        <v>9</v>
      </c>
      <c r="F8" s="9">
        <f>G8-M31+Y31</f>
        <v>800</v>
      </c>
      <c r="G8" s="10">
        <f>'Random CNDQ'!I12*100</f>
        <v>800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4000</v>
      </c>
      <c r="C11" s="26">
        <v>2000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80</v>
      </c>
      <c r="C13" s="10">
        <f>C11/C12</f>
        <v>100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8400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8400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600</v>
      </c>
      <c r="E5" t="s">
        <v>9</v>
      </c>
      <c r="F5">
        <f>G5-J31+V31</f>
        <v>600</v>
      </c>
      <c r="G5" s="26">
        <f>'Random CNDQ'!F13*100</f>
        <v>600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860</v>
      </c>
      <c r="E6" t="s">
        <v>9</v>
      </c>
      <c r="F6">
        <f>G6-K31+W31</f>
        <v>1300</v>
      </c>
      <c r="G6" s="26">
        <f>'Random CNDQ'!G13*100</f>
        <v>1300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940</v>
      </c>
      <c r="E7" t="s">
        <v>9</v>
      </c>
      <c r="F7">
        <f>G7-L31+X31</f>
        <v>1800</v>
      </c>
      <c r="G7" s="26">
        <f>'Random CNDQ'!H13*100</f>
        <v>1800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8400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800</v>
      </c>
      <c r="E8" s="9" t="s">
        <v>9</v>
      </c>
      <c r="F8" s="9">
        <f>G8-M31+Y31</f>
        <v>800</v>
      </c>
      <c r="G8" s="10">
        <f>'Random CNDQ'!I13*100</f>
        <v>800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1200</v>
      </c>
      <c r="C11" s="26">
        <v>2000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24</v>
      </c>
      <c r="C13" s="10">
        <f>C11/C12</f>
        <v>100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7818.181818181818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7818.181818181818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181.8181818181819</v>
      </c>
      <c r="E5" t="s">
        <v>9</v>
      </c>
      <c r="F5">
        <f>G5-J31+V31</f>
        <v>1600</v>
      </c>
      <c r="G5" s="26">
        <f>'Random CNDQ'!F14*100</f>
        <v>1600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700</v>
      </c>
      <c r="E6" t="s">
        <v>9</v>
      </c>
      <c r="F6">
        <f>G6-K31+W31</f>
        <v>700</v>
      </c>
      <c r="G6" s="26">
        <f>'Random CNDQ'!G14*100</f>
        <v>700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899.99999999999989</v>
      </c>
      <c r="E7" t="s">
        <v>9</v>
      </c>
      <c r="F7">
        <f>G7-L31+X31</f>
        <v>900</v>
      </c>
      <c r="G7" s="26">
        <f>'Random CNDQ'!H14*100</f>
        <v>900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7818.181818181818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945.4545454545455</v>
      </c>
      <c r="E8" s="9" t="s">
        <v>9</v>
      </c>
      <c r="F8" s="9">
        <f>G8-M31+Y31</f>
        <v>1800</v>
      </c>
      <c r="G8" s="10">
        <f>'Random CNDQ'!I14*100</f>
        <v>1800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363.6363636363638</v>
      </c>
      <c r="C11" s="26">
        <v>2363.6363636363635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7.272727272727276</v>
      </c>
      <c r="C13" s="10">
        <f>C11/C12</f>
        <v>118.18181818181817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7371.4285714285725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7371.4285714285725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900</v>
      </c>
      <c r="E5" t="s">
        <v>9</v>
      </c>
      <c r="F5">
        <f>G5-J31+V31</f>
        <v>900</v>
      </c>
      <c r="G5" s="26">
        <f>'Random CNDQ'!F15*100</f>
        <v>900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854.28571428571433</v>
      </c>
      <c r="E6" t="s">
        <v>9</v>
      </c>
      <c r="F6">
        <f>G6-K31+W31</f>
        <v>2000</v>
      </c>
      <c r="G6" s="26">
        <f>'Random CNDQ'!G15*100</f>
        <v>2000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800</v>
      </c>
      <c r="E7" t="s">
        <v>9</v>
      </c>
      <c r="F7">
        <f>G7-L31+X31</f>
        <v>800</v>
      </c>
      <c r="G7" s="26">
        <f>'Random CNDQ'!H15*100</f>
        <v>800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7371.4285714285725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502.85714285714295</v>
      </c>
      <c r="E8" s="9" t="s">
        <v>9</v>
      </c>
      <c r="F8" s="9">
        <f>G8-M31+Y31</f>
        <v>1400</v>
      </c>
      <c r="G8" s="10">
        <f>'Random CNDQ'!I15*100</f>
        <v>1400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1800</v>
      </c>
      <c r="C11" s="26">
        <v>1257.1428571428573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36</v>
      </c>
      <c r="C13" s="10">
        <f>C11/C12</f>
        <v>62.857142857142868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6400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6400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700</v>
      </c>
      <c r="E5" t="s">
        <v>9</v>
      </c>
      <c r="F5">
        <f>G5-J31+V31</f>
        <v>700</v>
      </c>
      <c r="G5" s="26">
        <f>'Random CNDQ'!F16*100</f>
        <v>700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720</v>
      </c>
      <c r="E6" t="s">
        <v>9</v>
      </c>
      <c r="F6">
        <f>G6-K31+W31</f>
        <v>1500</v>
      </c>
      <c r="G6" s="26">
        <f>'Random CNDQ'!G16*100</f>
        <v>1500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700</v>
      </c>
      <c r="E7" t="s">
        <v>9</v>
      </c>
      <c r="F7">
        <f>G7-L31+X31</f>
        <v>700</v>
      </c>
      <c r="G7" s="26">
        <f>'Random CNDQ'!H16*100</f>
        <v>700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6400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480</v>
      </c>
      <c r="E8" s="9" t="s">
        <v>9</v>
      </c>
      <c r="F8" s="9">
        <f>G8-M31+Y31</f>
        <v>1200</v>
      </c>
      <c r="G8" s="10">
        <f>'Random CNDQ'!I16*100</f>
        <v>1200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1400</v>
      </c>
      <c r="C11" s="26">
        <v>1200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28</v>
      </c>
      <c r="C13" s="10">
        <f>C11/C12</f>
        <v>60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10914.285714285714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10914.285714285714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1100</v>
      </c>
      <c r="E5" t="s">
        <v>9</v>
      </c>
      <c r="F5">
        <f>G5-J31+V31</f>
        <v>1100</v>
      </c>
      <c r="G5" s="26">
        <f>'Random CNDQ'!F17*100</f>
        <v>1100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1202.8571428571429</v>
      </c>
      <c r="E6" t="s">
        <v>9</v>
      </c>
      <c r="F6">
        <f>G6-K31+W31</f>
        <v>1500</v>
      </c>
      <c r="G6" s="26">
        <f>'Random CNDQ'!G17*100</f>
        <v>1500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1200</v>
      </c>
      <c r="E7" t="s">
        <v>9</v>
      </c>
      <c r="F7">
        <f>G7-L31+X31</f>
        <v>1200</v>
      </c>
      <c r="G7" s="26">
        <f>'Random CNDQ'!H17*100</f>
        <v>1200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10914.285714285714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868.57142857142867</v>
      </c>
      <c r="E8" s="9" t="s">
        <v>9</v>
      </c>
      <c r="F8" s="9">
        <f>G8-M31+Y31</f>
        <v>1100</v>
      </c>
      <c r="G8" s="10">
        <f>'Random CNDQ'!I17*100</f>
        <v>1100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2200</v>
      </c>
      <c r="C11" s="26">
        <v>2171.4285714285716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44</v>
      </c>
      <c r="C13" s="10">
        <f>C11/C12</f>
        <v>108.57142857142858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4971.4285714285716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4971.4285714285716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1200</v>
      </c>
      <c r="E5" t="s">
        <v>9</v>
      </c>
      <c r="F5">
        <f>G5-J31+V31</f>
        <v>1200</v>
      </c>
      <c r="G5" s="26">
        <f>'Random CNDQ'!F18*100</f>
        <v>1200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734.28571428571433</v>
      </c>
      <c r="E6" t="s">
        <v>9</v>
      </c>
      <c r="F6">
        <f>G6-K31+W31</f>
        <v>1600</v>
      </c>
      <c r="G6" s="26">
        <f>'Random CNDQ'!G18*100</f>
        <v>1600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500</v>
      </c>
      <c r="E7" t="s">
        <v>9</v>
      </c>
      <c r="F7">
        <f>G7-L31+X31</f>
        <v>500</v>
      </c>
      <c r="G7" s="26">
        <f>'Random CNDQ'!H18*100</f>
        <v>500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4971.4285714285716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22.857142857142858</v>
      </c>
      <c r="E8" s="9" t="s">
        <v>9</v>
      </c>
      <c r="F8" s="9">
        <f>G8-M31+Y31</f>
        <v>2000</v>
      </c>
      <c r="G8" s="10">
        <f>'Random CNDQ'!I18*100</f>
        <v>2000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2400</v>
      </c>
      <c r="C11" s="26">
        <v>57.142857142857139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48</v>
      </c>
      <c r="C13" s="10">
        <f>C11/C12</f>
        <v>2.8571428571428568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6999.9999999999991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6999.9999999999991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1749.9999999999998</v>
      </c>
      <c r="E5" t="s">
        <v>9</v>
      </c>
      <c r="F5">
        <f>G5-J31+V31</f>
        <v>1900</v>
      </c>
      <c r="G5" s="26">
        <f>'Random CNDQ'!F19*100</f>
        <v>1900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1049.9999999999998</v>
      </c>
      <c r="E6" t="s">
        <v>9</v>
      </c>
      <c r="F6">
        <f>G6-K31+W31</f>
        <v>1100</v>
      </c>
      <c r="G6" s="26">
        <f>'Random CNDQ'!G19*100</f>
        <v>1100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700</v>
      </c>
      <c r="E7" t="s">
        <v>9</v>
      </c>
      <c r="F7">
        <f>G7-L31+X31</f>
        <v>700</v>
      </c>
      <c r="G7" s="26">
        <f>'Random CNDQ'!H19*100</f>
        <v>700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6999.9999999999991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0</v>
      </c>
      <c r="E8" s="9" t="s">
        <v>9</v>
      </c>
      <c r="F8" s="9">
        <f>G8-M31+Y31</f>
        <v>700</v>
      </c>
      <c r="G8" s="10">
        <f>'Random CNDQ'!I19*100</f>
        <v>700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3499.9999999999995</v>
      </c>
      <c r="C11" s="26">
        <v>0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69.999999999999986</v>
      </c>
      <c r="C13" s="10">
        <f>C11/C12</f>
        <v>0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6666.6666666648516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6666.6666666648516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166.6666666655251</v>
      </c>
      <c r="E5" t="s">
        <v>9</v>
      </c>
      <c r="F5">
        <f>G5-J31+V31</f>
        <v>500</v>
      </c>
      <c r="G5" s="26">
        <f>'Random CNDQ'!F20*100</f>
        <v>500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599.99999999954434</v>
      </c>
      <c r="E6" t="s">
        <v>9</v>
      </c>
      <c r="F6">
        <f>G6-K31+W31</f>
        <v>600</v>
      </c>
      <c r="G6" s="26">
        <f>'Random CNDQ'!G20*100</f>
        <v>600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766.666666666531</v>
      </c>
      <c r="E7" t="s">
        <v>9</v>
      </c>
      <c r="F7">
        <f>G7-L31+X31</f>
        <v>1100</v>
      </c>
      <c r="G7" s="26">
        <f>'Random CNDQ'!H20*100</f>
        <v>1100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6666.6666666648516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800.00000000036687</v>
      </c>
      <c r="E8" s="9" t="s">
        <v>9</v>
      </c>
      <c r="F8" s="9">
        <f>G8-M31+Y31</f>
        <v>800</v>
      </c>
      <c r="G8" s="10">
        <f>'Random CNDQ'!I20*100</f>
        <v>800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333.3333333310502</v>
      </c>
      <c r="C11" s="26">
        <v>2000.000000000917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6.6666666666210039</v>
      </c>
      <c r="C13" s="10">
        <f>C11/C12</f>
        <v>100.00000000004584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AH31"/>
  <sheetViews>
    <sheetView workbookViewId="0"/>
  </sheetViews>
  <sheetFormatPr defaultRowHeight="15" x14ac:dyDescent="0.25"/>
  <cols>
    <col min="1" max="1" width="11" bestFit="1" customWidth="1"/>
    <col min="4" max="4" width="11.140625" customWidth="1"/>
    <col min="5" max="5" width="3" bestFit="1" customWidth="1"/>
    <col min="8" max="8" width="3.7109375" customWidth="1"/>
    <col min="10" max="13" width="5.7109375" customWidth="1"/>
    <col min="15" max="18" width="7.7109375" customWidth="1"/>
    <col min="20" max="20" width="3.7109375" customWidth="1"/>
    <col min="22" max="25" width="5.7109375" customWidth="1"/>
    <col min="27" max="30" width="7.7109375" customWidth="1"/>
    <col min="32" max="32" width="3.7109375" customWidth="1"/>
    <col min="33" max="33" width="10.7109375" bestFit="1" customWidth="1"/>
    <col min="34" max="34" width="11" customWidth="1"/>
  </cols>
  <sheetData>
    <row r="1" spans="1:34" x14ac:dyDescent="0.25">
      <c r="A1" s="14" t="s">
        <v>13</v>
      </c>
      <c r="B1" s="5" t="s">
        <v>0</v>
      </c>
      <c r="C1" s="5" t="s">
        <v>1</v>
      </c>
      <c r="D1" s="6" t="s">
        <v>7</v>
      </c>
    </row>
    <row r="2" spans="1:34" x14ac:dyDescent="0.25">
      <c r="A2" s="19" t="s">
        <v>2</v>
      </c>
      <c r="B2" s="25">
        <v>2</v>
      </c>
      <c r="C2" s="25">
        <v>3</v>
      </c>
      <c r="D2" s="20">
        <f>SUMPRODUCT(B2:C2,$B$11:$C$11)</f>
        <v>13454.545454542829</v>
      </c>
    </row>
    <row r="4" spans="1:34" x14ac:dyDescent="0.25">
      <c r="A4" s="14" t="s">
        <v>14</v>
      </c>
      <c r="B4" s="5" t="s">
        <v>0</v>
      </c>
      <c r="C4" s="5" t="s">
        <v>1</v>
      </c>
      <c r="D4" s="5" t="s">
        <v>8</v>
      </c>
      <c r="E4" s="5"/>
      <c r="F4" s="5" t="s">
        <v>70</v>
      </c>
      <c r="G4" s="6" t="s">
        <v>69</v>
      </c>
      <c r="I4" s="14" t="s">
        <v>67</v>
      </c>
      <c r="J4" s="42" t="s">
        <v>10</v>
      </c>
      <c r="K4" s="42"/>
      <c r="L4" s="42"/>
      <c r="M4" s="42"/>
      <c r="N4" s="5" t="s">
        <v>68</v>
      </c>
      <c r="O4" s="42" t="s">
        <v>73</v>
      </c>
      <c r="P4" s="42"/>
      <c r="Q4" s="42"/>
      <c r="R4" s="42"/>
      <c r="S4" s="6" t="s">
        <v>7</v>
      </c>
      <c r="U4" s="14" t="s">
        <v>71</v>
      </c>
      <c r="V4" s="42" t="s">
        <v>10</v>
      </c>
      <c r="W4" s="42"/>
      <c r="X4" s="42"/>
      <c r="Y4" s="42"/>
      <c r="Z4" s="5" t="s">
        <v>72</v>
      </c>
      <c r="AA4" s="42" t="s">
        <v>73</v>
      </c>
      <c r="AB4" s="42"/>
      <c r="AC4" s="42"/>
      <c r="AD4" s="42"/>
      <c r="AE4" s="6" t="s">
        <v>7</v>
      </c>
      <c r="AG4" s="14" t="s">
        <v>74</v>
      </c>
      <c r="AH4" s="16">
        <f>D2</f>
        <v>13454.545454542829</v>
      </c>
    </row>
    <row r="5" spans="1:34" x14ac:dyDescent="0.25">
      <c r="A5" s="17" t="s">
        <v>3</v>
      </c>
      <c r="B5">
        <v>0.5</v>
      </c>
      <c r="C5">
        <v>0</v>
      </c>
      <c r="D5">
        <f>SUMPRODUCT(B5:C5,$B$11:$C$11)</f>
        <v>1045.4545454585266</v>
      </c>
      <c r="E5" t="s">
        <v>9</v>
      </c>
      <c r="F5">
        <f>G5-J31+V31</f>
        <v>2000</v>
      </c>
      <c r="G5" s="26">
        <f>'Random CNDQ'!F21*100</f>
        <v>2000</v>
      </c>
      <c r="I5" s="15">
        <f>S31</f>
        <v>0</v>
      </c>
      <c r="J5" s="8" t="s">
        <v>63</v>
      </c>
      <c r="K5" s="8" t="s">
        <v>64</v>
      </c>
      <c r="L5" s="8" t="s">
        <v>65</v>
      </c>
      <c r="M5" s="8" t="s">
        <v>66</v>
      </c>
      <c r="N5" s="9"/>
      <c r="O5" s="8" t="s">
        <v>63</v>
      </c>
      <c r="P5" s="8" t="s">
        <v>64</v>
      </c>
      <c r="Q5" s="8" t="s">
        <v>65</v>
      </c>
      <c r="R5" s="8" t="s">
        <v>66</v>
      </c>
      <c r="S5" s="10"/>
      <c r="U5" s="15">
        <f>AE31</f>
        <v>0</v>
      </c>
      <c r="V5" s="8" t="s">
        <v>63</v>
      </c>
      <c r="W5" s="8" t="s">
        <v>64</v>
      </c>
      <c r="X5" s="8" t="s">
        <v>65</v>
      </c>
      <c r="Y5" s="8" t="s">
        <v>66</v>
      </c>
      <c r="Z5" s="9"/>
      <c r="AA5" s="8" t="s">
        <v>63</v>
      </c>
      <c r="AB5" s="8" t="s">
        <v>64</v>
      </c>
      <c r="AC5" s="8" t="s">
        <v>65</v>
      </c>
      <c r="AD5" s="8" t="s">
        <v>66</v>
      </c>
      <c r="AE5" s="10"/>
      <c r="AG5" s="17" t="s">
        <v>67</v>
      </c>
      <c r="AH5" s="18">
        <f>I5</f>
        <v>0</v>
      </c>
    </row>
    <row r="6" spans="1:34" x14ac:dyDescent="0.25">
      <c r="A6" s="17" t="s">
        <v>4</v>
      </c>
      <c r="B6">
        <v>0.3</v>
      </c>
      <c r="C6">
        <v>0.25</v>
      </c>
      <c r="D6">
        <f t="shared" ref="D6:D8" si="0">SUMPRODUCT(B6:C6,$B$11:$C$11)</f>
        <v>1400.0000000008426</v>
      </c>
      <c r="E6" t="s">
        <v>9</v>
      </c>
      <c r="F6">
        <f>G6-K31+W31</f>
        <v>1400</v>
      </c>
      <c r="G6" s="26">
        <f>'Random CNDQ'!G21*100</f>
        <v>1400</v>
      </c>
      <c r="I6" s="23">
        <v>1</v>
      </c>
      <c r="J6" s="21"/>
      <c r="K6" s="21"/>
      <c r="L6" s="21"/>
      <c r="M6" s="21"/>
      <c r="N6" s="21"/>
      <c r="O6" s="22"/>
      <c r="P6" s="22"/>
      <c r="Q6" s="22"/>
      <c r="R6" s="22"/>
      <c r="S6" s="16">
        <f>SUMPRODUCT(J6:M6,O6:R6)</f>
        <v>0</v>
      </c>
      <c r="U6" s="23">
        <v>1</v>
      </c>
      <c r="V6" s="21"/>
      <c r="W6" s="21"/>
      <c r="X6" s="21"/>
      <c r="Y6" s="21"/>
      <c r="Z6" s="21"/>
      <c r="AA6" s="22"/>
      <c r="AB6" s="22"/>
      <c r="AC6" s="22"/>
      <c r="AD6" s="22"/>
      <c r="AE6" s="16">
        <f>SUMPRODUCT(V6:Y6,AA6:AD6)</f>
        <v>0</v>
      </c>
      <c r="AG6" s="17" t="s">
        <v>71</v>
      </c>
      <c r="AH6" s="18">
        <f>U5</f>
        <v>0</v>
      </c>
    </row>
    <row r="7" spans="1:34" x14ac:dyDescent="0.25">
      <c r="A7" s="17" t="s">
        <v>5</v>
      </c>
      <c r="B7">
        <v>0.2</v>
      </c>
      <c r="C7">
        <v>0.35</v>
      </c>
      <c r="D7">
        <f t="shared" si="0"/>
        <v>1499.9999999994279</v>
      </c>
      <c r="E7" t="s">
        <v>9</v>
      </c>
      <c r="F7">
        <f>G7-L31+X31</f>
        <v>1500</v>
      </c>
      <c r="G7" s="26">
        <f>'Random CNDQ'!H21*100</f>
        <v>1500</v>
      </c>
      <c r="I7" s="24">
        <v>2</v>
      </c>
      <c r="O7" s="36"/>
      <c r="P7" s="36"/>
      <c r="Q7" s="36"/>
      <c r="R7" s="36"/>
      <c r="S7" s="18">
        <f t="shared" ref="S7:S30" si="1">SUMPRODUCT(J7:M7,O7:R7)</f>
        <v>0</v>
      </c>
      <c r="U7" s="24">
        <v>2</v>
      </c>
      <c r="AA7" s="36"/>
      <c r="AB7" s="36"/>
      <c r="AC7" s="36"/>
      <c r="AD7" s="36"/>
      <c r="AE7" s="18">
        <f t="shared" ref="AE7:AE30" si="2">SUMPRODUCT(V7:Y7,AA7:AD7)</f>
        <v>0</v>
      </c>
      <c r="AG7" s="11" t="s">
        <v>7</v>
      </c>
      <c r="AH7" s="13">
        <f>AH4+AH5-AH6</f>
        <v>13454.545454542829</v>
      </c>
    </row>
    <row r="8" spans="1:34" x14ac:dyDescent="0.25">
      <c r="A8" s="19" t="s">
        <v>6</v>
      </c>
      <c r="B8" s="9">
        <v>0</v>
      </c>
      <c r="C8" s="9">
        <v>0.4</v>
      </c>
      <c r="D8" s="9">
        <f t="shared" si="0"/>
        <v>1236.3636363611631</v>
      </c>
      <c r="E8" s="9" t="s">
        <v>9</v>
      </c>
      <c r="F8" s="9">
        <f>G8-M31+Y31</f>
        <v>1300</v>
      </c>
      <c r="G8" s="10">
        <f>'Random CNDQ'!I21*100</f>
        <v>1300</v>
      </c>
      <c r="I8" s="24">
        <v>3</v>
      </c>
      <c r="O8" s="36"/>
      <c r="P8" s="36"/>
      <c r="Q8" s="36"/>
      <c r="R8" s="36"/>
      <c r="S8" s="18">
        <f t="shared" si="1"/>
        <v>0</v>
      </c>
      <c r="U8" s="24">
        <v>3</v>
      </c>
      <c r="AA8" s="36"/>
      <c r="AB8" s="36"/>
      <c r="AC8" s="36"/>
      <c r="AD8" s="36"/>
      <c r="AE8" s="18">
        <f t="shared" si="2"/>
        <v>0</v>
      </c>
    </row>
    <row r="9" spans="1:34" x14ac:dyDescent="0.25">
      <c r="I9" s="24">
        <v>4</v>
      </c>
      <c r="O9" s="36"/>
      <c r="P9" s="36"/>
      <c r="Q9" s="36"/>
      <c r="R9" s="36"/>
      <c r="S9" s="18">
        <f t="shared" si="1"/>
        <v>0</v>
      </c>
      <c r="U9" s="24">
        <v>4</v>
      </c>
      <c r="AA9" s="36"/>
      <c r="AB9" s="36"/>
      <c r="AC9" s="36"/>
      <c r="AD9" s="36"/>
      <c r="AE9" s="18">
        <f t="shared" si="2"/>
        <v>0</v>
      </c>
    </row>
    <row r="10" spans="1:34" x14ac:dyDescent="0.25">
      <c r="A10" s="14" t="s">
        <v>75</v>
      </c>
      <c r="B10" s="5" t="s">
        <v>0</v>
      </c>
      <c r="C10" s="6" t="s">
        <v>1</v>
      </c>
      <c r="I10" s="24">
        <v>5</v>
      </c>
      <c r="O10" s="36"/>
      <c r="P10" s="36"/>
      <c r="Q10" s="36"/>
      <c r="R10" s="36"/>
      <c r="S10" s="18">
        <f t="shared" si="1"/>
        <v>0</v>
      </c>
      <c r="U10" s="24">
        <v>5</v>
      </c>
      <c r="AA10" s="36"/>
      <c r="AB10" s="36"/>
      <c r="AC10" s="36"/>
      <c r="AD10" s="36"/>
      <c r="AE10" s="18">
        <f t="shared" si="2"/>
        <v>0</v>
      </c>
    </row>
    <row r="11" spans="1:34" x14ac:dyDescent="0.25">
      <c r="A11" s="17" t="s">
        <v>10</v>
      </c>
      <c r="B11">
        <v>2090.9090909170532</v>
      </c>
      <c r="C11" s="26">
        <v>3090.9090909029073</v>
      </c>
      <c r="I11" s="24">
        <v>6</v>
      </c>
      <c r="O11" s="36"/>
      <c r="P11" s="36"/>
      <c r="Q11" s="36"/>
      <c r="R11" s="36"/>
      <c r="S11" s="18">
        <f t="shared" si="1"/>
        <v>0</v>
      </c>
      <c r="U11" s="24">
        <v>6</v>
      </c>
      <c r="AA11" s="36"/>
      <c r="AB11" s="36"/>
      <c r="AC11" s="36"/>
      <c r="AD11" s="36"/>
      <c r="AE11" s="18">
        <f t="shared" si="2"/>
        <v>0</v>
      </c>
    </row>
    <row r="12" spans="1:34" x14ac:dyDescent="0.25">
      <c r="A12" s="17" t="s">
        <v>11</v>
      </c>
      <c r="B12">
        <v>50</v>
      </c>
      <c r="C12" s="26">
        <v>20</v>
      </c>
      <c r="I12" s="24">
        <v>7</v>
      </c>
      <c r="O12" s="36"/>
      <c r="P12" s="36"/>
      <c r="Q12" s="36"/>
      <c r="R12" s="36"/>
      <c r="S12" s="18">
        <f t="shared" si="1"/>
        <v>0</v>
      </c>
      <c r="U12" s="24">
        <v>7</v>
      </c>
      <c r="AA12" s="36"/>
      <c r="AB12" s="36"/>
      <c r="AC12" s="36"/>
      <c r="AD12" s="36"/>
      <c r="AE12" s="18">
        <f t="shared" si="2"/>
        <v>0</v>
      </c>
    </row>
    <row r="13" spans="1:34" x14ac:dyDescent="0.25">
      <c r="A13" s="19" t="s">
        <v>12</v>
      </c>
      <c r="B13" s="9">
        <f>B11/B12</f>
        <v>41.81818181834106</v>
      </c>
      <c r="C13" s="10">
        <f>C11/C12</f>
        <v>154.54545454514536</v>
      </c>
      <c r="I13" s="24">
        <v>8</v>
      </c>
      <c r="O13" s="36"/>
      <c r="P13" s="36"/>
      <c r="Q13" s="36"/>
      <c r="R13" s="36"/>
      <c r="S13" s="18">
        <f t="shared" si="1"/>
        <v>0</v>
      </c>
      <c r="U13" s="24">
        <v>8</v>
      </c>
      <c r="AA13" s="36"/>
      <c r="AB13" s="36"/>
      <c r="AC13" s="36"/>
      <c r="AD13" s="36"/>
      <c r="AE13" s="18">
        <f t="shared" si="2"/>
        <v>0</v>
      </c>
    </row>
    <row r="14" spans="1:34" x14ac:dyDescent="0.25">
      <c r="I14" s="24">
        <v>9</v>
      </c>
      <c r="O14" s="36"/>
      <c r="P14" s="36"/>
      <c r="Q14" s="36"/>
      <c r="R14" s="36"/>
      <c r="S14" s="18">
        <f t="shared" si="1"/>
        <v>0</v>
      </c>
      <c r="U14" s="24">
        <v>9</v>
      </c>
      <c r="AA14" s="36"/>
      <c r="AB14" s="36"/>
      <c r="AC14" s="36"/>
      <c r="AD14" s="36"/>
      <c r="AE14" s="18">
        <f t="shared" si="2"/>
        <v>0</v>
      </c>
    </row>
    <row r="15" spans="1:34" x14ac:dyDescent="0.25">
      <c r="I15" s="24">
        <v>10</v>
      </c>
      <c r="O15" s="36"/>
      <c r="P15" s="36"/>
      <c r="Q15" s="36"/>
      <c r="R15" s="36"/>
      <c r="S15" s="18">
        <f t="shared" si="1"/>
        <v>0</v>
      </c>
      <c r="U15" s="24">
        <v>10</v>
      </c>
      <c r="AA15" s="36"/>
      <c r="AB15" s="36"/>
      <c r="AC15" s="36"/>
      <c r="AD15" s="36"/>
      <c r="AE15" s="18">
        <f t="shared" si="2"/>
        <v>0</v>
      </c>
    </row>
    <row r="16" spans="1:34" x14ac:dyDescent="0.25">
      <c r="I16" s="24">
        <v>11</v>
      </c>
      <c r="O16" s="36"/>
      <c r="P16" s="36"/>
      <c r="Q16" s="36"/>
      <c r="R16" s="36"/>
      <c r="S16" s="18">
        <f t="shared" si="1"/>
        <v>0</v>
      </c>
      <c r="U16" s="24">
        <v>11</v>
      </c>
      <c r="AA16" s="36"/>
      <c r="AB16" s="36"/>
      <c r="AC16" s="36"/>
      <c r="AD16" s="36"/>
      <c r="AE16" s="18">
        <f t="shared" si="2"/>
        <v>0</v>
      </c>
    </row>
    <row r="17" spans="9:31" x14ac:dyDescent="0.25">
      <c r="I17" s="24">
        <v>12</v>
      </c>
      <c r="O17" s="36"/>
      <c r="P17" s="36"/>
      <c r="Q17" s="36"/>
      <c r="R17" s="36"/>
      <c r="S17" s="18">
        <f t="shared" si="1"/>
        <v>0</v>
      </c>
      <c r="U17" s="24">
        <v>12</v>
      </c>
      <c r="AA17" s="36"/>
      <c r="AB17" s="36"/>
      <c r="AC17" s="36"/>
      <c r="AD17" s="36"/>
      <c r="AE17" s="18">
        <f t="shared" si="2"/>
        <v>0</v>
      </c>
    </row>
    <row r="18" spans="9:31" x14ac:dyDescent="0.25">
      <c r="I18" s="24">
        <v>13</v>
      </c>
      <c r="O18" s="36"/>
      <c r="P18" s="36"/>
      <c r="Q18" s="36"/>
      <c r="R18" s="36"/>
      <c r="S18" s="18">
        <f t="shared" si="1"/>
        <v>0</v>
      </c>
      <c r="U18" s="24">
        <v>13</v>
      </c>
      <c r="AA18" s="36"/>
      <c r="AB18" s="36"/>
      <c r="AC18" s="36"/>
      <c r="AD18" s="36"/>
      <c r="AE18" s="18">
        <f t="shared" si="2"/>
        <v>0</v>
      </c>
    </row>
    <row r="19" spans="9:31" x14ac:dyDescent="0.25">
      <c r="I19" s="24">
        <v>14</v>
      </c>
      <c r="O19" s="36"/>
      <c r="P19" s="36"/>
      <c r="Q19" s="36"/>
      <c r="R19" s="36"/>
      <c r="S19" s="18">
        <f t="shared" si="1"/>
        <v>0</v>
      </c>
      <c r="U19" s="24">
        <v>14</v>
      </c>
      <c r="AA19" s="36"/>
      <c r="AB19" s="36"/>
      <c r="AC19" s="36"/>
      <c r="AD19" s="36"/>
      <c r="AE19" s="18">
        <f t="shared" si="2"/>
        <v>0</v>
      </c>
    </row>
    <row r="20" spans="9:31" x14ac:dyDescent="0.25">
      <c r="I20" s="24">
        <v>15</v>
      </c>
      <c r="O20" s="36"/>
      <c r="P20" s="36"/>
      <c r="Q20" s="36"/>
      <c r="R20" s="36"/>
      <c r="S20" s="18">
        <f t="shared" si="1"/>
        <v>0</v>
      </c>
      <c r="U20" s="24">
        <v>15</v>
      </c>
      <c r="AA20" s="36"/>
      <c r="AB20" s="36"/>
      <c r="AC20" s="36"/>
      <c r="AD20" s="36"/>
      <c r="AE20" s="18">
        <f t="shared" si="2"/>
        <v>0</v>
      </c>
    </row>
    <row r="21" spans="9:31" x14ac:dyDescent="0.25">
      <c r="I21" s="24">
        <v>16</v>
      </c>
      <c r="O21" s="36"/>
      <c r="P21" s="36"/>
      <c r="Q21" s="36"/>
      <c r="R21" s="36"/>
      <c r="S21" s="18">
        <f t="shared" si="1"/>
        <v>0</v>
      </c>
      <c r="U21" s="24">
        <v>16</v>
      </c>
      <c r="AA21" s="36"/>
      <c r="AB21" s="36"/>
      <c r="AC21" s="36"/>
      <c r="AD21" s="36"/>
      <c r="AE21" s="18">
        <f t="shared" si="2"/>
        <v>0</v>
      </c>
    </row>
    <row r="22" spans="9:31" x14ac:dyDescent="0.25">
      <c r="I22" s="24">
        <v>17</v>
      </c>
      <c r="O22" s="36"/>
      <c r="P22" s="36"/>
      <c r="Q22" s="36"/>
      <c r="R22" s="36"/>
      <c r="S22" s="18">
        <f t="shared" si="1"/>
        <v>0</v>
      </c>
      <c r="U22" s="24">
        <v>17</v>
      </c>
      <c r="AA22" s="36"/>
      <c r="AB22" s="36"/>
      <c r="AC22" s="36"/>
      <c r="AD22" s="36"/>
      <c r="AE22" s="18">
        <f t="shared" si="2"/>
        <v>0</v>
      </c>
    </row>
    <row r="23" spans="9:31" x14ac:dyDescent="0.25">
      <c r="I23" s="24">
        <v>18</v>
      </c>
      <c r="O23" s="36"/>
      <c r="P23" s="36"/>
      <c r="Q23" s="36"/>
      <c r="R23" s="36"/>
      <c r="S23" s="18">
        <f t="shared" si="1"/>
        <v>0</v>
      </c>
      <c r="U23" s="24">
        <v>18</v>
      </c>
      <c r="AA23" s="36"/>
      <c r="AB23" s="36"/>
      <c r="AC23" s="36"/>
      <c r="AD23" s="36"/>
      <c r="AE23" s="18">
        <f t="shared" si="2"/>
        <v>0</v>
      </c>
    </row>
    <row r="24" spans="9:31" x14ac:dyDescent="0.25">
      <c r="I24" s="24">
        <v>19</v>
      </c>
      <c r="O24" s="36"/>
      <c r="P24" s="36"/>
      <c r="Q24" s="36"/>
      <c r="R24" s="36"/>
      <c r="S24" s="18">
        <f t="shared" si="1"/>
        <v>0</v>
      </c>
      <c r="U24" s="24">
        <v>19</v>
      </c>
      <c r="AA24" s="36"/>
      <c r="AB24" s="36"/>
      <c r="AC24" s="36"/>
      <c r="AD24" s="36"/>
      <c r="AE24" s="18">
        <f t="shared" si="2"/>
        <v>0</v>
      </c>
    </row>
    <row r="25" spans="9:31" x14ac:dyDescent="0.25">
      <c r="I25" s="24">
        <v>20</v>
      </c>
      <c r="O25" s="36"/>
      <c r="P25" s="36"/>
      <c r="Q25" s="36"/>
      <c r="R25" s="36"/>
      <c r="S25" s="18">
        <f t="shared" si="1"/>
        <v>0</v>
      </c>
      <c r="U25" s="24">
        <v>20</v>
      </c>
      <c r="AA25" s="36"/>
      <c r="AB25" s="36"/>
      <c r="AC25" s="36"/>
      <c r="AD25" s="36"/>
      <c r="AE25" s="18">
        <f t="shared" si="2"/>
        <v>0</v>
      </c>
    </row>
    <row r="26" spans="9:31" x14ac:dyDescent="0.25">
      <c r="I26" s="24">
        <v>21</v>
      </c>
      <c r="O26" s="36"/>
      <c r="P26" s="36"/>
      <c r="Q26" s="36"/>
      <c r="R26" s="36"/>
      <c r="S26" s="18">
        <f t="shared" si="1"/>
        <v>0</v>
      </c>
      <c r="U26" s="24">
        <v>21</v>
      </c>
      <c r="AA26" s="36"/>
      <c r="AB26" s="36"/>
      <c r="AC26" s="36"/>
      <c r="AD26" s="36"/>
      <c r="AE26" s="18">
        <f t="shared" si="2"/>
        <v>0</v>
      </c>
    </row>
    <row r="27" spans="9:31" x14ac:dyDescent="0.25">
      <c r="I27" s="24">
        <v>22</v>
      </c>
      <c r="O27" s="36"/>
      <c r="P27" s="36"/>
      <c r="Q27" s="36"/>
      <c r="R27" s="36"/>
      <c r="S27" s="18">
        <f t="shared" si="1"/>
        <v>0</v>
      </c>
      <c r="U27" s="24">
        <v>22</v>
      </c>
      <c r="AA27" s="36"/>
      <c r="AB27" s="36"/>
      <c r="AC27" s="36"/>
      <c r="AD27" s="36"/>
      <c r="AE27" s="18">
        <f t="shared" si="2"/>
        <v>0</v>
      </c>
    </row>
    <row r="28" spans="9:31" x14ac:dyDescent="0.25">
      <c r="I28" s="24">
        <v>23</v>
      </c>
      <c r="O28" s="36"/>
      <c r="P28" s="36"/>
      <c r="Q28" s="36"/>
      <c r="R28" s="36"/>
      <c r="S28" s="18">
        <f t="shared" si="1"/>
        <v>0</v>
      </c>
      <c r="U28" s="24">
        <v>23</v>
      </c>
      <c r="AA28" s="36"/>
      <c r="AB28" s="36"/>
      <c r="AC28" s="36"/>
      <c r="AD28" s="36"/>
      <c r="AE28" s="18">
        <f t="shared" si="2"/>
        <v>0</v>
      </c>
    </row>
    <row r="29" spans="9:31" x14ac:dyDescent="0.25">
      <c r="I29" s="24">
        <v>24</v>
      </c>
      <c r="O29" s="36"/>
      <c r="P29" s="36"/>
      <c r="Q29" s="36"/>
      <c r="R29" s="36"/>
      <c r="S29" s="18">
        <f t="shared" si="1"/>
        <v>0</v>
      </c>
      <c r="U29" s="24">
        <v>24</v>
      </c>
      <c r="AA29" s="36"/>
      <c r="AB29" s="36"/>
      <c r="AC29" s="36"/>
      <c r="AD29" s="36"/>
      <c r="AE29" s="18">
        <f t="shared" si="2"/>
        <v>0</v>
      </c>
    </row>
    <row r="30" spans="9:31" x14ac:dyDescent="0.25">
      <c r="I30" s="7">
        <v>25</v>
      </c>
      <c r="J30" s="9"/>
      <c r="K30" s="9"/>
      <c r="L30" s="9"/>
      <c r="M30" s="9"/>
      <c r="N30" s="9"/>
      <c r="O30" s="25"/>
      <c r="P30" s="25"/>
      <c r="Q30" s="25"/>
      <c r="R30" s="25"/>
      <c r="S30" s="20">
        <f t="shared" si="1"/>
        <v>0</v>
      </c>
      <c r="U30" s="7">
        <v>25</v>
      </c>
      <c r="V30" s="9"/>
      <c r="W30" s="9"/>
      <c r="X30" s="9"/>
      <c r="Y30" s="9"/>
      <c r="Z30" s="9"/>
      <c r="AA30" s="25"/>
      <c r="AB30" s="25"/>
      <c r="AC30" s="25"/>
      <c r="AD30" s="25"/>
      <c r="AE30" s="20">
        <f t="shared" si="2"/>
        <v>0</v>
      </c>
    </row>
    <row r="31" spans="9:31" x14ac:dyDescent="0.25">
      <c r="I31" s="11" t="s">
        <v>7</v>
      </c>
      <c r="J31" s="12">
        <f>SUM(J6:J30)</f>
        <v>0</v>
      </c>
      <c r="K31" s="12">
        <f t="shared" ref="K31:M31" si="3">SUM(K6:K30)</f>
        <v>0</v>
      </c>
      <c r="L31" s="12">
        <f t="shared" si="3"/>
        <v>0</v>
      </c>
      <c r="M31" s="12">
        <f t="shared" si="3"/>
        <v>0</v>
      </c>
      <c r="N31" s="12"/>
      <c r="O31" s="12"/>
      <c r="P31" s="12"/>
      <c r="Q31" s="12"/>
      <c r="R31" s="12"/>
      <c r="S31" s="13">
        <f>SUM(S6:S30)</f>
        <v>0</v>
      </c>
      <c r="U31" s="11" t="s">
        <v>7</v>
      </c>
      <c r="V31" s="12">
        <f>SUM(V6:V30)</f>
        <v>0</v>
      </c>
      <c r="W31" s="12">
        <f t="shared" ref="W31:Y31" si="4">SUM(W6:W30)</f>
        <v>0</v>
      </c>
      <c r="X31" s="12">
        <f t="shared" si="4"/>
        <v>0</v>
      </c>
      <c r="Y31" s="12">
        <f t="shared" si="4"/>
        <v>0</v>
      </c>
      <c r="Z31" s="12"/>
      <c r="AA31" s="12"/>
      <c r="AB31" s="12"/>
      <c r="AC31" s="12"/>
      <c r="AD31" s="12"/>
      <c r="AE31" s="13">
        <f>SUM(AE6:AE30)</f>
        <v>0</v>
      </c>
    </row>
  </sheetData>
  <mergeCells count="4">
    <mergeCell ref="J4:M4"/>
    <mergeCell ref="O4:R4"/>
    <mergeCell ref="V4:Y4"/>
    <mergeCell ref="AA4:AD4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/>
  <dimension ref="A1:D21"/>
  <sheetViews>
    <sheetView tabSelected="1" zoomScale="220" zoomScaleNormal="220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23.28515625" style="38" bestFit="1" customWidth="1"/>
    <col min="2" max="2" width="11.5703125" style="38" bestFit="1" customWidth="1"/>
    <col min="3" max="3" width="13.28515625" style="38" bestFit="1" customWidth="1"/>
    <col min="4" max="4" width="10.42578125" style="38" bestFit="1" customWidth="1"/>
    <col min="5" max="16384" width="9.140625" style="38"/>
  </cols>
  <sheetData>
    <row r="1" spans="1:4" x14ac:dyDescent="0.2">
      <c r="A1" s="37" t="s">
        <v>55</v>
      </c>
      <c r="B1" s="37" t="s">
        <v>56</v>
      </c>
      <c r="C1" s="37" t="s">
        <v>58</v>
      </c>
      <c r="D1" s="37" t="s">
        <v>57</v>
      </c>
    </row>
    <row r="2" spans="1:4" x14ac:dyDescent="0.2">
      <c r="A2" s="37">
        <v>1</v>
      </c>
      <c r="B2" s="39">
        <v>16285.714285714284</v>
      </c>
      <c r="C2" s="39">
        <f>'Team 1'!AH7</f>
        <v>16285.714285714286</v>
      </c>
      <c r="D2" s="40">
        <f>(C2-B2)/B2</f>
        <v>1.116923317966754E-16</v>
      </c>
    </row>
    <row r="3" spans="1:4" x14ac:dyDescent="0.2">
      <c r="A3" s="37">
        <v>2</v>
      </c>
      <c r="B3" s="39">
        <v>11090.909090909088</v>
      </c>
      <c r="C3" s="39">
        <f>'Team 2'!AH7</f>
        <v>11090.909090909088</v>
      </c>
      <c r="D3" s="40">
        <f t="shared" ref="D3:D10" si="0">(C3-B3)/B3</f>
        <v>0</v>
      </c>
    </row>
    <row r="4" spans="1:4" x14ac:dyDescent="0.2">
      <c r="A4" s="37">
        <v>3</v>
      </c>
      <c r="B4" s="39">
        <v>13000</v>
      </c>
      <c r="C4" s="39">
        <f>'Team 3'!AH7</f>
        <v>13000</v>
      </c>
      <c r="D4" s="40">
        <f t="shared" si="0"/>
        <v>0</v>
      </c>
    </row>
    <row r="5" spans="1:4" x14ac:dyDescent="0.2">
      <c r="A5" s="37">
        <v>4</v>
      </c>
      <c r="B5" s="39">
        <v>10450</v>
      </c>
      <c r="C5" s="39">
        <f>'Team 4'!AH7</f>
        <v>10450</v>
      </c>
      <c r="D5" s="40">
        <f t="shared" si="0"/>
        <v>0</v>
      </c>
    </row>
    <row r="6" spans="1:4" x14ac:dyDescent="0.2">
      <c r="A6" s="37">
        <v>5</v>
      </c>
      <c r="B6" s="39">
        <v>6666.6666666666661</v>
      </c>
      <c r="C6" s="39">
        <f>'Team 5'!AH7</f>
        <v>6666.666666666667</v>
      </c>
      <c r="D6" s="40">
        <f t="shared" si="0"/>
        <v>1.3642420526593925E-16</v>
      </c>
    </row>
    <row r="7" spans="1:4" x14ac:dyDescent="0.2">
      <c r="A7" s="37">
        <v>6</v>
      </c>
      <c r="B7" s="41">
        <v>6571.4285714285706</v>
      </c>
      <c r="C7" s="41">
        <f>'Team 6'!AH7</f>
        <v>6571.4285714285716</v>
      </c>
      <c r="D7" s="40">
        <f t="shared" si="0"/>
        <v>1.3840136766109779E-16</v>
      </c>
    </row>
    <row r="8" spans="1:4" x14ac:dyDescent="0.2">
      <c r="A8" s="37">
        <v>7</v>
      </c>
      <c r="B8" s="41">
        <v>4742.8571428571431</v>
      </c>
      <c r="C8" s="41">
        <f>'Team 7'!AH7</f>
        <v>4742.8571428571422</v>
      </c>
      <c r="D8" s="40">
        <f t="shared" si="0"/>
        <v>-1.9176093109670173E-16</v>
      </c>
    </row>
    <row r="9" spans="1:4" x14ac:dyDescent="0.2">
      <c r="A9" s="37">
        <v>8</v>
      </c>
      <c r="B9" s="41">
        <v>6150</v>
      </c>
      <c r="C9" s="41">
        <f>'Team 8'!AH7</f>
        <v>6150</v>
      </c>
      <c r="D9" s="40">
        <f t="shared" si="0"/>
        <v>0</v>
      </c>
    </row>
    <row r="10" spans="1:4" x14ac:dyDescent="0.2">
      <c r="A10" s="37">
        <v>9</v>
      </c>
      <c r="B10" s="41">
        <v>11700</v>
      </c>
      <c r="C10" s="41">
        <f>'Team 9'!AH7</f>
        <v>11700</v>
      </c>
      <c r="D10" s="40">
        <f t="shared" si="0"/>
        <v>0</v>
      </c>
    </row>
    <row r="11" spans="1:4" x14ac:dyDescent="0.2">
      <c r="A11" s="37">
        <v>10</v>
      </c>
      <c r="B11" s="41">
        <v>4685.7142857142853</v>
      </c>
      <c r="C11" s="41">
        <f>'Team 10'!AH7</f>
        <v>4685.7142857142862</v>
      </c>
      <c r="D11" s="40">
        <f>(C11-B11)/B11</f>
        <v>1.9409947903690544E-16</v>
      </c>
    </row>
    <row r="12" spans="1:4" x14ac:dyDescent="0.2">
      <c r="A12" s="37">
        <v>11</v>
      </c>
      <c r="B12" s="41">
        <v>14000</v>
      </c>
      <c r="C12" s="41">
        <f>'Team 11'!AH7</f>
        <v>14000</v>
      </c>
      <c r="D12" s="40">
        <f t="shared" ref="D12:D15" si="1">(C12-B12)/B12</f>
        <v>0</v>
      </c>
    </row>
    <row r="13" spans="1:4" x14ac:dyDescent="0.2">
      <c r="A13" s="37">
        <v>12</v>
      </c>
      <c r="B13" s="41">
        <v>8400</v>
      </c>
      <c r="C13" s="41">
        <f>'Team 12'!AH7</f>
        <v>8400</v>
      </c>
      <c r="D13" s="40">
        <f t="shared" si="1"/>
        <v>0</v>
      </c>
    </row>
    <row r="14" spans="1:4" x14ac:dyDescent="0.2">
      <c r="A14" s="37">
        <v>13</v>
      </c>
      <c r="B14" s="41">
        <v>7818.1818181818171</v>
      </c>
      <c r="C14" s="41">
        <f>'Team 13'!AH7</f>
        <v>7818.181818181818</v>
      </c>
      <c r="D14" s="40">
        <f t="shared" si="1"/>
        <v>1.1633071766863036E-16</v>
      </c>
    </row>
    <row r="15" spans="1:4" x14ac:dyDescent="0.2">
      <c r="A15" s="37">
        <v>14</v>
      </c>
      <c r="B15" s="41">
        <v>7371.4285714285706</v>
      </c>
      <c r="C15" s="41">
        <f>'Team 14'!AH7</f>
        <v>7371.4285714285725</v>
      </c>
      <c r="D15" s="40">
        <f t="shared" si="1"/>
        <v>2.4676212838800381E-16</v>
      </c>
    </row>
    <row r="16" spans="1:4" x14ac:dyDescent="0.2">
      <c r="A16" s="37">
        <v>15</v>
      </c>
      <c r="B16" s="41">
        <v>6399.9999999999991</v>
      </c>
      <c r="C16" s="41">
        <f>'Team 15'!AH7</f>
        <v>6400</v>
      </c>
      <c r="D16" s="40">
        <f>(C16-B16)/B16</f>
        <v>1.4210854715202006E-16</v>
      </c>
    </row>
    <row r="17" spans="1:4" x14ac:dyDescent="0.2">
      <c r="A17" s="37">
        <v>16</v>
      </c>
      <c r="B17" s="41">
        <v>10914.285714285714</v>
      </c>
      <c r="C17" s="41">
        <f>'Team 16'!AH7</f>
        <v>10914.285714285714</v>
      </c>
      <c r="D17" s="40">
        <f t="shared" ref="D17:D21" si="2">(C17-B17)/B17</f>
        <v>0</v>
      </c>
    </row>
    <row r="18" spans="1:4" x14ac:dyDescent="0.2">
      <c r="A18" s="37">
        <v>17</v>
      </c>
      <c r="B18" s="41">
        <v>4971.4285714285716</v>
      </c>
      <c r="C18" s="41">
        <f>'Team 17'!AH7</f>
        <v>4971.4285714285716</v>
      </c>
      <c r="D18" s="40">
        <f t="shared" si="2"/>
        <v>0</v>
      </c>
    </row>
    <row r="19" spans="1:4" x14ac:dyDescent="0.2">
      <c r="A19" s="37">
        <v>18</v>
      </c>
      <c r="B19" s="41">
        <v>6999.9999999999991</v>
      </c>
      <c r="C19" s="41">
        <f>'Team 18'!AH7</f>
        <v>6999.9999999999991</v>
      </c>
      <c r="D19" s="40">
        <f t="shared" si="2"/>
        <v>0</v>
      </c>
    </row>
    <row r="20" spans="1:4" x14ac:dyDescent="0.2">
      <c r="A20" s="37">
        <v>19</v>
      </c>
      <c r="B20" s="41">
        <v>6666.6666666648516</v>
      </c>
      <c r="C20" s="41">
        <f>'Team 19'!AH7</f>
        <v>6666.6666666648516</v>
      </c>
      <c r="D20" s="40">
        <f t="shared" si="2"/>
        <v>0</v>
      </c>
    </row>
    <row r="21" spans="1:4" x14ac:dyDescent="0.2">
      <c r="A21" s="37">
        <v>20</v>
      </c>
      <c r="B21" s="41">
        <v>13454.545454542829</v>
      </c>
      <c r="C21" s="41">
        <f>'Team 20'!AH7</f>
        <v>13454.545454542829</v>
      </c>
      <c r="D21" s="40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695325</xdr:colOff>
                    <xdr:row>0</xdr:row>
                    <xdr:rowOff>0</xdr:rowOff>
                  </from>
                  <to>
                    <xdr:col>4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Model</vt:lpstr>
      <vt:lpstr>Answer Report 1</vt:lpstr>
      <vt:lpstr>Sensitivity Report 1</vt:lpstr>
      <vt:lpstr>Random CNDQ</vt:lpstr>
      <vt:lpstr>Team 1</vt:lpstr>
      <vt:lpstr>Team 2</vt:lpstr>
      <vt:lpstr>Team 3</vt:lpstr>
      <vt:lpstr>Team 4</vt:lpstr>
      <vt:lpstr>Team 5</vt:lpstr>
      <vt:lpstr>Team 6</vt:lpstr>
      <vt:lpstr>Team 7</vt:lpstr>
      <vt:lpstr>Team 8</vt:lpstr>
      <vt:lpstr>Team 9</vt:lpstr>
      <vt:lpstr>Team 10</vt:lpstr>
      <vt:lpstr>Team 11</vt:lpstr>
      <vt:lpstr>Team 12</vt:lpstr>
      <vt:lpstr>Team 13</vt:lpstr>
      <vt:lpstr>Team 14</vt:lpstr>
      <vt:lpstr>Team 15</vt:lpstr>
      <vt:lpstr>Team 16</vt:lpstr>
      <vt:lpstr>Team 17</vt:lpstr>
      <vt:lpstr>Team 18</vt:lpstr>
      <vt:lpstr>Team 19</vt:lpstr>
      <vt:lpstr>Team 20</vt:lpstr>
      <vt:lpstr>Scoreboard</vt:lpstr>
    </vt:vector>
  </TitlesOfParts>
  <Company>Stony Brook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Herbert Lewis</dc:creator>
  <cp:lastModifiedBy>Herbert Lewis</cp:lastModifiedBy>
  <cp:lastPrinted>2018-02-07T15:38:17Z</cp:lastPrinted>
  <dcterms:created xsi:type="dcterms:W3CDTF">2015-11-14T15:32:21Z</dcterms:created>
  <dcterms:modified xsi:type="dcterms:W3CDTF">2025-12-19T19:36:06Z</dcterms:modified>
</cp:coreProperties>
</file>